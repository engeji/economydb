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_Adilzade\Desktop\"/>
    </mc:Choice>
  </mc:AlternateContent>
  <bookViews>
    <workbookView xWindow="0" yWindow="0" windowWidth="28800" windowHeight="12435" activeTab="2"/>
  </bookViews>
  <sheets>
    <sheet name="обработка" sheetId="8" r:id="rId1"/>
    <sheet name="сводка" sheetId="9" r:id="rId2"/>
    <sheet name="расчет" sheetId="11" r:id="rId3"/>
    <sheet name="Технология" sheetId="7" r:id="rId4"/>
    <sheet name="Инструкция" sheetId="3" r:id="rId5"/>
    <sheet name="Списки" sheetId="1" r:id="rId6"/>
    <sheet name="Redme" sheetId="12" r:id="rId7"/>
  </sheets>
  <calcPr calcId="152511"/>
  <extLst>
    <ext uri="GoogleSheetsCustomDataVersion1">
      <go:sheetsCustomData xmlns:go="http://customooxmlschemas.google.com/" r:id="rId8" roundtripDataSignature="AMtx7mjfHZ47YPgXhJoLhbUfL3cfzahFmQ=="/>
    </ext>
  </extLst>
</workbook>
</file>

<file path=xl/calcChain.xml><?xml version="1.0" encoding="utf-8"?>
<calcChain xmlns="http://schemas.openxmlformats.org/spreadsheetml/2006/main">
  <c r="A1" i="7" l="1"/>
  <c r="A1" i="11"/>
  <c r="C3" i="11" l="1"/>
  <c r="C4" i="11" s="1"/>
  <c r="D3" i="11" s="1"/>
  <c r="C7" i="11" l="1"/>
  <c r="C6" i="11"/>
  <c r="D4" i="11"/>
  <c r="E3" i="11" s="1"/>
  <c r="D5" i="11"/>
  <c r="C5" i="11"/>
  <c r="D6" i="11" l="1"/>
  <c r="D7" i="11"/>
  <c r="E4" i="11"/>
  <c r="F3" i="11" s="1"/>
  <c r="E5" i="11"/>
  <c r="E6" i="11" l="1"/>
  <c r="E7" i="11"/>
  <c r="F4" i="11"/>
  <c r="G3" i="11" s="1"/>
  <c r="F5" i="11"/>
  <c r="F7" i="11" l="1"/>
  <c r="F6" i="11"/>
  <c r="G5" i="11"/>
  <c r="G4" i="11"/>
  <c r="H3" i="11" s="1"/>
  <c r="G7" i="11" l="1"/>
  <c r="G6" i="11"/>
  <c r="H5" i="11"/>
  <c r="H4" i="11"/>
  <c r="I3" i="11" s="1"/>
  <c r="H7" i="11" l="1"/>
  <c r="H6" i="11"/>
  <c r="I4" i="11"/>
  <c r="J3" i="11" s="1"/>
  <c r="I5" i="11"/>
  <c r="N10" i="7"/>
  <c r="M10" i="7"/>
  <c r="L10" i="7"/>
  <c r="K10" i="7"/>
  <c r="N8" i="7"/>
  <c r="M8" i="7"/>
  <c r="L8" i="7"/>
  <c r="K8" i="7"/>
  <c r="N6" i="7"/>
  <c r="M6" i="7"/>
  <c r="L6" i="7"/>
  <c r="K6" i="7"/>
  <c r="J10" i="7"/>
  <c r="I6" i="11" l="1"/>
  <c r="I7" i="11"/>
  <c r="J5" i="11"/>
  <c r="J4" i="11"/>
  <c r="K3" i="11" s="1"/>
  <c r="J6" i="7"/>
  <c r="J7" i="11" l="1"/>
  <c r="J6" i="11"/>
  <c r="K5" i="11"/>
  <c r="K4" i="11"/>
  <c r="L3" i="11" s="1"/>
  <c r="B6" i="3"/>
  <c r="B7" i="3" s="1"/>
  <c r="B8" i="3" s="1"/>
  <c r="B9" i="3" s="1"/>
  <c r="B10" i="3" s="1"/>
  <c r="B11" i="3" s="1"/>
  <c r="B12" i="3" s="1"/>
  <c r="K6" i="11" l="1"/>
  <c r="K7" i="11"/>
  <c r="L5" i="11"/>
  <c r="L4" i="11"/>
  <c r="L7" i="11" s="1"/>
  <c r="B14" i="3"/>
  <c r="B15" i="3" s="1"/>
  <c r="L6" i="11" l="1"/>
  <c r="J8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P6" i="7"/>
  <c r="A12" i="7"/>
  <c r="C5" i="7" l="1"/>
  <c r="P5" i="7"/>
  <c r="I6" i="7" l="1"/>
  <c r="H6" i="7"/>
  <c r="H7" i="7" s="1"/>
  <c r="H8" i="7" s="1"/>
  <c r="G6" i="7"/>
  <c r="G7" i="7" s="1"/>
  <c r="G8" i="7" s="1"/>
  <c r="G9" i="7" s="1"/>
  <c r="G10" i="7" s="1"/>
  <c r="G11" i="7" s="1"/>
  <c r="G12" i="7" s="1"/>
  <c r="F6" i="7"/>
  <c r="F7" i="7" s="1"/>
  <c r="F8" i="7" s="1"/>
  <c r="E6" i="7"/>
  <c r="E7" i="7" s="1"/>
  <c r="E8" i="7" s="1"/>
  <c r="D6" i="7"/>
  <c r="B5" i="7"/>
  <c r="D7" i="7" l="1"/>
  <c r="D8" i="7" s="1"/>
  <c r="D9" i="7" s="1"/>
  <c r="D10" i="7" s="1"/>
  <c r="D11" i="7" s="1"/>
  <c r="D12" i="7" s="1"/>
  <c r="I7" i="7"/>
  <c r="I8" i="7" s="1"/>
  <c r="I9" i="7" s="1"/>
  <c r="I10" i="7" s="1"/>
  <c r="I11" i="7" s="1"/>
  <c r="I12" i="7" s="1"/>
  <c r="H9" i="7"/>
  <c r="H10" i="7" s="1"/>
  <c r="H11" i="7" s="1"/>
  <c r="H12" i="7" s="1"/>
  <c r="E9" i="7"/>
  <c r="E10" i="7" s="1"/>
  <c r="E11" i="7" s="1"/>
  <c r="E12" i="7" s="1"/>
  <c r="P8" i="7"/>
  <c r="F9" i="7"/>
  <c r="F10" i="7" s="1"/>
  <c r="F11" i="7" s="1"/>
  <c r="F12" i="7" s="1"/>
  <c r="S4" i="7" l="1"/>
  <c r="T4" i="7" s="1"/>
  <c r="U4" i="7" s="1"/>
  <c r="V4" i="7" s="1"/>
  <c r="W4" i="7" s="1"/>
  <c r="X4" i="7" s="1"/>
  <c r="Y4" i="7" s="1"/>
  <c r="Z4" i="7" s="1"/>
  <c r="AA4" i="7" s="1"/>
  <c r="AB4" i="7" s="1"/>
  <c r="AC4" i="7" s="1"/>
  <c r="AD4" i="7" s="1"/>
  <c r="AE4" i="7" s="1"/>
  <c r="AF4" i="7" s="1"/>
  <c r="AG4" i="7" s="1"/>
  <c r="AH4" i="7" s="1"/>
  <c r="AI4" i="7" s="1"/>
  <c r="AJ4" i="7" s="1"/>
  <c r="AK4" i="7" s="1"/>
  <c r="AL4" i="7" s="1"/>
  <c r="AM4" i="7" s="1"/>
  <c r="AN4" i="7" s="1"/>
  <c r="AO4" i="7" s="1"/>
  <c r="AP4" i="7" s="1"/>
  <c r="AQ4" i="7" s="1"/>
  <c r="AR4" i="7" s="1"/>
  <c r="AS4" i="7" s="1"/>
  <c r="B3" i="7" l="1"/>
</calcChain>
</file>

<file path=xl/sharedStrings.xml><?xml version="1.0" encoding="utf-8"?>
<sst xmlns="http://schemas.openxmlformats.org/spreadsheetml/2006/main" count="159" uniqueCount="115">
  <si>
    <t>Флюид</t>
  </si>
  <si>
    <t>Вид затрат</t>
  </si>
  <si>
    <t>Вид ГТМ</t>
  </si>
  <si>
    <t>АО "Ачимгаз"</t>
  </si>
  <si>
    <t>ЗАО "Пургаз"</t>
  </si>
  <si>
    <t>ОАО "Севернефтегазпром"</t>
  </si>
  <si>
    <t>ООО "Ачим Девелопмент"</t>
  </si>
  <si>
    <t>ООО "Газпром добыча Надым"</t>
  </si>
  <si>
    <t>ООО "Газпром добыча Ноябрьск"</t>
  </si>
  <si>
    <t>ООО "Газпром добыча Уренгой"</t>
  </si>
  <si>
    <t>ООО "Газпром добыча Ямбург"</t>
  </si>
  <si>
    <t>ООО "Газпромнефть Заполярье"</t>
  </si>
  <si>
    <t>Залежь</t>
  </si>
  <si>
    <t>Капитальные вложения</t>
  </si>
  <si>
    <t>ЗБС</t>
  </si>
  <si>
    <t>Уренгойское</t>
  </si>
  <si>
    <t>Губкинское</t>
  </si>
  <si>
    <t>Южно-Русское</t>
  </si>
  <si>
    <t>Медвежье</t>
  </si>
  <si>
    <t>Западно-Таркосалинское</t>
  </si>
  <si>
    <t>Заполярное</t>
  </si>
  <si>
    <t>Турон</t>
  </si>
  <si>
    <t>Товарный газ</t>
  </si>
  <si>
    <t>ГРП при бурении</t>
  </si>
  <si>
    <t>Юбилейное</t>
  </si>
  <si>
    <t>Комсомольское</t>
  </si>
  <si>
    <t>Ен-Яхинское</t>
  </si>
  <si>
    <t>Ямбургское</t>
  </si>
  <si>
    <t>Сеноман</t>
  </si>
  <si>
    <t>Нестабильный конденсат</t>
  </si>
  <si>
    <t>КЛК</t>
  </si>
  <si>
    <t>Ямсовейское</t>
  </si>
  <si>
    <t>Вынгаяхинское</t>
  </si>
  <si>
    <t>Харасавэйское</t>
  </si>
  <si>
    <t>Сеноман-апт</t>
  </si>
  <si>
    <t>Стабильный конденсат</t>
  </si>
  <si>
    <t>Еты-Пуровское</t>
  </si>
  <si>
    <t>Бованенковское</t>
  </si>
  <si>
    <t>Неоком</t>
  </si>
  <si>
    <t>Нефть</t>
  </si>
  <si>
    <t>Перевод на вышележащий горизонт со сменой флюида</t>
  </si>
  <si>
    <t>Вынгапуровское</t>
  </si>
  <si>
    <t>ПНГ</t>
  </si>
  <si>
    <t>Эксплуатационные расходы</t>
  </si>
  <si>
    <t>Водоизоляция</t>
  </si>
  <si>
    <t>Колтюбинг</t>
  </si>
  <si>
    <t>КРС при спуске КЛК</t>
  </si>
  <si>
    <t>Перевод на вышележащий горизонт без смены флюида</t>
  </si>
  <si>
    <t>Внереализационные расходы</t>
  </si>
  <si>
    <t>Ликвидация скважины</t>
  </si>
  <si>
    <t>Консервация скважины</t>
  </si>
  <si>
    <t>Расконсервация скважины</t>
  </si>
  <si>
    <t>Недропользователь</t>
  </si>
  <si>
    <t>Месторождение</t>
  </si>
  <si>
    <t>Номер скважины</t>
  </si>
  <si>
    <t>Дата начала ГТМ</t>
  </si>
  <si>
    <t>Дата окончания ГТМ</t>
  </si>
  <si>
    <t>Продукция</t>
  </si>
  <si>
    <t>Единицы измерения</t>
  </si>
  <si>
    <t>Добытый газ</t>
  </si>
  <si>
    <t>Добытый конденсат</t>
  </si>
  <si>
    <t>тыс. т</t>
  </si>
  <si>
    <t>Товарный конденсат</t>
  </si>
  <si>
    <t>№</t>
  </si>
  <si>
    <t>Стабильный конденсат реализуется на месторождениях</t>
  </si>
  <si>
    <r>
      <t>млн.м</t>
    </r>
    <r>
      <rPr>
        <vertAlign val="superscript"/>
        <sz val="12"/>
        <color theme="1"/>
        <rFont val="Times New Roman"/>
        <family val="1"/>
        <charset val="204"/>
      </rPr>
      <t>3</t>
    </r>
  </si>
  <si>
    <t>ШФЛУ</t>
  </si>
  <si>
    <t>СПБТ</t>
  </si>
  <si>
    <t>ГТМ 1</t>
  </si>
  <si>
    <t>ГТМ 2</t>
  </si>
  <si>
    <t>ГТМ 3</t>
  </si>
  <si>
    <t>ГТМ 4</t>
  </si>
  <si>
    <t>ГТМ 5</t>
  </si>
  <si>
    <t>Березовская свита</t>
  </si>
  <si>
    <t>Ачимовка</t>
  </si>
  <si>
    <t>ГРП без бурения</t>
  </si>
  <si>
    <t>Бурение скважины</t>
  </si>
  <si>
    <t>Отношение товарного газа к извлеченному</t>
  </si>
  <si>
    <t>Апт-альб</t>
  </si>
  <si>
    <t>Инструкция</t>
  </si>
  <si>
    <t>Заполнение формы технологических показателей по ГТМ</t>
  </si>
  <si>
    <t>Даты начала и окончания ГТМ должны быть в формате ДД.ММ.ГГГГ (например 01.01.2022)</t>
  </si>
  <si>
    <t>В стобцах J,K,L,M,N выбираем виды ремонта, которые планируются на скважине. Ремонт может быть один или несколько.</t>
  </si>
  <si>
    <t>Замена НКТ</t>
  </si>
  <si>
    <t>Заполняем только зеленые ячейки.</t>
  </si>
  <si>
    <t>В ячейке E2 пишем количество скважин, по которым нужно выполнить расчет, жмем кнопку "Добавить скважины".</t>
  </si>
  <si>
    <t>В ячейке R4 указываем первый год начала добычи по всем скважинам. 
Например, если планируются ГТМ в 2022 и 2024 гг., то первым годом будет 2022.</t>
  </si>
  <si>
    <t>При выборе некоторых ГТМ под их наименованием появляются дополнительные показатели, которые заполняем в зеленых ячейках.</t>
  </si>
  <si>
    <t>*</t>
  </si>
  <si>
    <t>По всем ГТМ (кроме *) добыча заносится по годам за 60 месяцев (5 полных лет) с даты окончания ремонта на скважине.</t>
  </si>
  <si>
    <t>При оценке ЗБС, бурения скважины, ГРП при бурении добыча заносится по годам за 120 месяцев (10 полных лет) с даты окончания ремонта на скважине.</t>
  </si>
  <si>
    <t>В столбце R для расчета товарного газа заносим коэффициент отношения товарного газа к извлеченному. Либо нужно самим рассчитать товарный газ, строка не заблокирована.</t>
  </si>
  <si>
    <t>Если есть добыча на скважине без КРС, заносим ее в первый блок в форме.</t>
  </si>
  <si>
    <t>Если производится оценка ГТМ на одной скважине по нескольким вариантам, номер скважины пишем в формате №_вар.n</t>
  </si>
  <si>
    <t>УК КЛК</t>
  </si>
  <si>
    <t>Типы УК КЛК</t>
  </si>
  <si>
    <t>Стационарный</t>
  </si>
  <si>
    <t>Мобильный</t>
  </si>
  <si>
    <t>Тип УК КЛК</t>
  </si>
  <si>
    <t>Отношение товарного кондесата к извлеченному</t>
  </si>
  <si>
    <t>дата запуска</t>
  </si>
  <si>
    <t>скважина</t>
  </si>
  <si>
    <t>Дата запуска скважины после КРС</t>
  </si>
  <si>
    <t>Диапазон дат работы по годам</t>
  </si>
  <si>
    <t>Год добычи после ГТМ</t>
  </si>
  <si>
    <t>ГС, млн. м3</t>
  </si>
  <si>
    <t>НК, тыс. т</t>
  </si>
  <si>
    <t>1. Вставляем данные из тхт на лист "обработка"</t>
  </si>
  <si>
    <t>период</t>
  </si>
  <si>
    <t>3. На листе "расчет" заполняем исходные данные столбцы R и S</t>
  </si>
  <si>
    <t>4. на листе "Технология" нажимаем на кнопку "заполнить"</t>
  </si>
  <si>
    <t>2. на листе "расчет" нажимаем кнопку "Уникальные скважины"</t>
  </si>
  <si>
    <t xml:space="preserve">Примечание: </t>
  </si>
  <si>
    <t>1. делаем все по шаблону</t>
  </si>
  <si>
    <t>2. шаблон работае только для таблиц (220;8)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</si>
</sst>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2"/>
      <color rgb="FFD8D8D8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0" tint="-0.1499984740745262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6"/>
      <color rgb="FFFF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B6DDE8"/>
        <bgColor rgb="FFB6DDE8"/>
      </patternFill>
    </fill>
    <fill>
      <patternFill patternType="solid">
        <fgColor rgb="FFD6E3BC"/>
        <bgColor rgb="FFD6E3B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rgb="FFC6D9F0"/>
      </patternFill>
    </fill>
    <fill>
      <patternFill patternType="solid">
        <fgColor theme="0"/>
        <bgColor rgb="FFD6E3B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C6D9F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1"/>
  </cellStyleXfs>
  <cellXfs count="89">
    <xf numFmtId="0" fontId="0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wrapText="1"/>
    </xf>
    <xf numFmtId="0" fontId="3" fillId="2" borderId="3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/>
    <xf numFmtId="0" fontId="5" fillId="0" borderId="0" xfId="0" applyFont="1" applyAlignment="1">
      <alignment wrapText="1"/>
    </xf>
    <xf numFmtId="0" fontId="4" fillId="3" borderId="2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/>
    </xf>
    <xf numFmtId="0" fontId="5" fillId="7" borderId="9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14" fontId="5" fillId="4" borderId="16" xfId="0" applyNumberFormat="1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9" fillId="6" borderId="16" xfId="0" applyFont="1" applyFill="1" applyBorder="1" applyAlignment="1">
      <alignment horizontal="center" vertical="center" wrapText="1"/>
    </xf>
    <xf numFmtId="0" fontId="5" fillId="5" borderId="16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/>
    <xf numFmtId="0" fontId="0" fillId="0" borderId="21" xfId="0" applyFont="1" applyBorder="1" applyAlignmen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4" fontId="10" fillId="8" borderId="7" xfId="0" applyNumberFormat="1" applyFont="1" applyFill="1" applyBorder="1" applyAlignment="1">
      <alignment horizontal="center" vertical="center" wrapText="1"/>
    </xf>
    <xf numFmtId="14" fontId="10" fillId="8" borderId="13" xfId="0" applyNumberFormat="1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10" fillId="8" borderId="20" xfId="0" applyNumberFormat="1" applyFont="1" applyFill="1" applyBorder="1" applyAlignment="1">
      <alignment horizontal="center" vertical="center" wrapText="1"/>
    </xf>
    <xf numFmtId="14" fontId="10" fillId="8" borderId="22" xfId="0" applyNumberFormat="1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wrapText="1"/>
    </xf>
    <xf numFmtId="0" fontId="11" fillId="0" borderId="0" xfId="0" applyFont="1" applyAlignment="1">
      <alignment horizontal="left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left" wrapText="1"/>
    </xf>
    <xf numFmtId="0" fontId="5" fillId="9" borderId="11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left" wrapText="1"/>
    </xf>
    <xf numFmtId="0" fontId="5" fillId="9" borderId="18" xfId="0" applyFont="1" applyFill="1" applyBorder="1" applyAlignment="1">
      <alignment wrapText="1"/>
    </xf>
    <xf numFmtId="0" fontId="5" fillId="0" borderId="18" xfId="0" applyFont="1" applyFill="1" applyBorder="1" applyAlignment="1">
      <alignment wrapText="1"/>
    </xf>
    <xf numFmtId="0" fontId="5" fillId="9" borderId="12" xfId="0" applyFont="1" applyFill="1" applyBorder="1" applyAlignment="1">
      <alignment horizontal="center" vertical="center"/>
    </xf>
    <xf numFmtId="0" fontId="5" fillId="9" borderId="19" xfId="0" applyFont="1" applyFill="1" applyBorder="1" applyAlignment="1">
      <alignment horizontal="left" wrapText="1"/>
    </xf>
    <xf numFmtId="0" fontId="5" fillId="0" borderId="11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left" wrapText="1"/>
    </xf>
    <xf numFmtId="49" fontId="5" fillId="9" borderId="11" xfId="0" applyNumberFormat="1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left" wrapText="1"/>
    </xf>
    <xf numFmtId="0" fontId="12" fillId="0" borderId="1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5" fillId="11" borderId="9" xfId="0" applyFont="1" applyFill="1" applyBorder="1" applyAlignment="1">
      <alignment horizontal="center"/>
    </xf>
    <xf numFmtId="0" fontId="2" fillId="0" borderId="1" xfId="1" applyNumberFormat="1"/>
    <xf numFmtId="0" fontId="2" fillId="0" borderId="1" xfId="1"/>
    <xf numFmtId="49" fontId="2" fillId="0" borderId="1" xfId="1" applyNumberFormat="1"/>
    <xf numFmtId="14" fontId="2" fillId="0" borderId="1" xfId="1" applyNumberFormat="1"/>
    <xf numFmtId="0" fontId="13" fillId="0" borderId="1" xfId="1" applyFont="1" applyAlignment="1">
      <alignment horizontal="center" vertical="center" wrapText="1"/>
    </xf>
    <xf numFmtId="14" fontId="13" fillId="0" borderId="1" xfId="1" applyNumberFormat="1" applyFont="1" applyAlignment="1">
      <alignment horizontal="center" vertical="center" wrapText="1"/>
    </xf>
    <xf numFmtId="2" fontId="2" fillId="0" borderId="1" xfId="1" applyNumberFormat="1"/>
    <xf numFmtId="49" fontId="0" fillId="0" borderId="0" xfId="0" applyNumberFormat="1" applyFont="1" applyAlignment="1"/>
    <xf numFmtId="49" fontId="5" fillId="4" borderId="16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/>
    <xf numFmtId="0" fontId="2" fillId="0" borderId="0" xfId="0" applyFont="1" applyAlignment="1"/>
    <xf numFmtId="0" fontId="2" fillId="0" borderId="1" xfId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1" fillId="0" borderId="0" xfId="0" applyFont="1" applyAlignment="1"/>
  </cellXfs>
  <cellStyles count="2">
    <cellStyle name="Обычный" xfId="0" builtinId="0"/>
    <cellStyle name="Обычный 2" xfId="1"/>
  </cellStyles>
  <dxfs count="10">
    <dxf>
      <font>
        <color auto="1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666750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Уникальные скважины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0</xdr:rowOff>
        </xdr:from>
        <xdr:to>
          <xdr:col>3</xdr:col>
          <xdr:colOff>2228850</xdr:colOff>
          <xdr:row>1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заполнить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H17" sqref="H17"/>
    </sheetView>
  </sheetViews>
  <sheetFormatPr defaultRowHeight="15" x14ac:dyDescent="0.25"/>
  <cols>
    <col min="1" max="1" width="10.140625" style="81" bestFit="1" customWidth="1"/>
    <col min="2" max="17" width="10.140625" style="81" customWidth="1"/>
    <col min="18" max="16384" width="9.140625" style="8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8" sqref="F8"/>
    </sheetView>
  </sheetViews>
  <sheetFormatPr defaultRowHeight="15" x14ac:dyDescent="0.25"/>
  <cols>
    <col min="1" max="1" width="10.140625" style="81" bestFit="1" customWidth="1"/>
    <col min="2" max="10" width="10.140625" style="81" customWidth="1"/>
    <col min="11" max="16384" width="9.140625" style="8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S2642"/>
  <sheetViews>
    <sheetView tabSelected="1" workbookViewId="0">
      <selection activeCell="H23" sqref="H23"/>
    </sheetView>
  </sheetViews>
  <sheetFormatPr defaultRowHeight="15" x14ac:dyDescent="0.25"/>
  <cols>
    <col min="1" max="1" width="9.140625" style="73"/>
    <col min="2" max="2" width="32.42578125" style="73" bestFit="1" customWidth="1"/>
    <col min="3" max="12" width="10.140625" style="72" bestFit="1" customWidth="1"/>
    <col min="13" max="13" width="9.140625" style="73"/>
    <col min="14" max="14" width="9.140625" style="73" customWidth="1"/>
    <col min="15" max="15" width="9.140625" style="73"/>
    <col min="16" max="17" width="10.140625" style="79" customWidth="1"/>
    <col min="18" max="18" width="12.28515625" style="73" bestFit="1" customWidth="1"/>
    <col min="19" max="16384" width="9.140625" style="73"/>
  </cols>
  <sheetData>
    <row r="1" spans="1:19" x14ac:dyDescent="0.25">
      <c r="A1" s="72">
        <f>COUNTA(Q:Q)</f>
        <v>0</v>
      </c>
      <c r="B1" s="73" t="s">
        <v>101</v>
      </c>
      <c r="C1" s="74">
        <v>32102</v>
      </c>
      <c r="D1" s="73"/>
      <c r="E1" s="73"/>
      <c r="F1" s="73"/>
      <c r="G1" s="73"/>
      <c r="H1" s="73"/>
      <c r="I1" s="73"/>
      <c r="J1" s="73"/>
      <c r="K1" s="73"/>
      <c r="L1" s="73"/>
      <c r="R1" s="73" t="s">
        <v>100</v>
      </c>
      <c r="S1" s="73" t="s">
        <v>108</v>
      </c>
    </row>
    <row r="2" spans="1:19" x14ac:dyDescent="0.25">
      <c r="B2" s="73" t="s">
        <v>102</v>
      </c>
      <c r="C2" s="75">
        <v>44927</v>
      </c>
      <c r="D2" s="73"/>
      <c r="E2" s="73"/>
      <c r="F2" s="73"/>
      <c r="G2" s="73"/>
      <c r="H2" s="73"/>
      <c r="I2" s="73"/>
      <c r="J2" s="73"/>
      <c r="K2" s="73"/>
      <c r="L2" s="73"/>
      <c r="R2" s="75">
        <v>44927</v>
      </c>
      <c r="S2" s="72">
        <v>5</v>
      </c>
    </row>
    <row r="3" spans="1:19" x14ac:dyDescent="0.25">
      <c r="B3" s="83" t="s">
        <v>103</v>
      </c>
      <c r="C3" s="75">
        <f>C2</f>
        <v>44927</v>
      </c>
      <c r="D3" s="75">
        <f>C4</f>
        <v>45292</v>
      </c>
      <c r="E3" s="75">
        <f t="shared" ref="E3:L3" si="0">D4</f>
        <v>45658</v>
      </c>
      <c r="F3" s="75">
        <f t="shared" si="0"/>
        <v>46023</v>
      </c>
      <c r="G3" s="75">
        <f t="shared" si="0"/>
        <v>46388</v>
      </c>
      <c r="H3" s="75">
        <f t="shared" si="0"/>
        <v>46753</v>
      </c>
      <c r="I3" s="75">
        <f t="shared" si="0"/>
        <v>47119</v>
      </c>
      <c r="J3" s="75">
        <f t="shared" si="0"/>
        <v>47484</v>
      </c>
      <c r="K3" s="75">
        <f t="shared" si="0"/>
        <v>47849</v>
      </c>
      <c r="L3" s="75">
        <f t="shared" si="0"/>
        <v>48214</v>
      </c>
      <c r="R3" s="75">
        <v>44927</v>
      </c>
      <c r="S3" s="73">
        <v>10</v>
      </c>
    </row>
    <row r="4" spans="1:19" x14ac:dyDescent="0.25">
      <c r="B4" s="83"/>
      <c r="C4" s="75">
        <f>EDATE(C3,12)</f>
        <v>45292</v>
      </c>
      <c r="D4" s="75">
        <f>EDATE(D3,12)</f>
        <v>45658</v>
      </c>
      <c r="E4" s="75">
        <f t="shared" ref="E4:L4" si="1">EDATE(E3,12)</f>
        <v>46023</v>
      </c>
      <c r="F4" s="75">
        <f t="shared" si="1"/>
        <v>46388</v>
      </c>
      <c r="G4" s="75">
        <f t="shared" si="1"/>
        <v>46753</v>
      </c>
      <c r="H4" s="75">
        <f t="shared" si="1"/>
        <v>47119</v>
      </c>
      <c r="I4" s="75">
        <f t="shared" si="1"/>
        <v>47484</v>
      </c>
      <c r="J4" s="75">
        <f t="shared" si="1"/>
        <v>47849</v>
      </c>
      <c r="K4" s="75">
        <f t="shared" si="1"/>
        <v>48214</v>
      </c>
      <c r="L4" s="75">
        <f t="shared" si="1"/>
        <v>48580</v>
      </c>
      <c r="R4" s="75">
        <v>44927</v>
      </c>
      <c r="S4" s="73">
        <v>5</v>
      </c>
    </row>
    <row r="5" spans="1:19" x14ac:dyDescent="0.25">
      <c r="B5" s="76" t="s">
        <v>104</v>
      </c>
      <c r="C5" s="73">
        <f>YEAR(C3)</f>
        <v>2023</v>
      </c>
      <c r="D5" s="73">
        <f t="shared" ref="D5:L5" si="2">YEAR(D3)</f>
        <v>2024</v>
      </c>
      <c r="E5" s="73">
        <f t="shared" si="2"/>
        <v>2025</v>
      </c>
      <c r="F5" s="73">
        <f t="shared" si="2"/>
        <v>2026</v>
      </c>
      <c r="G5" s="73">
        <f t="shared" si="2"/>
        <v>2027</v>
      </c>
      <c r="H5" s="73">
        <f t="shared" si="2"/>
        <v>2028</v>
      </c>
      <c r="I5" s="73">
        <f t="shared" si="2"/>
        <v>2029</v>
      </c>
      <c r="J5" s="73">
        <f t="shared" si="2"/>
        <v>2030</v>
      </c>
      <c r="K5" s="73">
        <f t="shared" si="2"/>
        <v>2031</v>
      </c>
      <c r="L5" s="73">
        <f t="shared" si="2"/>
        <v>2032</v>
      </c>
      <c r="R5" s="75">
        <v>44927</v>
      </c>
      <c r="S5" s="73">
        <v>5</v>
      </c>
    </row>
    <row r="6" spans="1:19" x14ac:dyDescent="0.25">
      <c r="B6" s="77" t="s">
        <v>105</v>
      </c>
      <c r="C6" s="78">
        <f ca="1">SUMIFS(сводка!$F:$F,сводка!$A:$A,"&gt;"&amp;C$3,сводка!$A:$A,"&lt;="&amp;C$4,сводка!$B:$B,$C$1)/1000000</f>
        <v>0</v>
      </c>
      <c r="D6" s="78">
        <f ca="1">SUMIFS(сводка!$F:$F,сводка!$A:$A,"&gt;"&amp;D$3,сводка!$A:$A,"&lt;="&amp;D$4,сводка!$B:$B,$C$1)/1000000</f>
        <v>0</v>
      </c>
      <c r="E6" s="78">
        <f ca="1">SUMIFS(сводка!$F:$F,сводка!$A:$A,"&gt;"&amp;E$3,сводка!$A:$A,"&lt;="&amp;E$4,сводка!$B:$B,$C$1)/1000000</f>
        <v>0</v>
      </c>
      <c r="F6" s="78">
        <f ca="1">SUMIFS(сводка!$F:$F,сводка!$A:$A,"&gt;"&amp;F$3,сводка!$A:$A,"&lt;="&amp;F$4,сводка!$B:$B,$C$1)/1000000</f>
        <v>0</v>
      </c>
      <c r="G6" s="78">
        <f ca="1">SUMIFS(сводка!$F:$F,сводка!$A:$A,"&gt;"&amp;G$3,сводка!$A:$A,"&lt;="&amp;G$4,сводка!$B:$B,$C$1)/1000000</f>
        <v>0</v>
      </c>
      <c r="H6" s="78">
        <f ca="1">SUMIFS(сводка!$F:$F,сводка!$A:$A,"&gt;"&amp;H$3,сводка!$A:$A,"&lt;="&amp;H$4,сводка!$B:$B,$C$1)/1000000</f>
        <v>0</v>
      </c>
      <c r="I6" s="78">
        <f ca="1">SUMIFS(сводка!$F:$F,сводка!$A:$A,"&gt;"&amp;I$3,сводка!$A:$A,"&lt;="&amp;I$4,сводка!$B:$B,$C$1)/1000000</f>
        <v>0</v>
      </c>
      <c r="J6" s="78">
        <f ca="1">SUMIFS(сводка!$F:$F,сводка!$A:$A,"&gt;"&amp;J$3,сводка!$A:$A,"&lt;="&amp;J$4,сводка!$B:$B,$C$1)/1000000</f>
        <v>0</v>
      </c>
      <c r="K6" s="78">
        <f ca="1">SUMIFS(сводка!$F:$F,сводка!$A:$A,"&gt;"&amp;K$3,сводка!$A:$A,"&lt;="&amp;K$4,сводка!$B:$B,$C$1)/1000000</f>
        <v>0</v>
      </c>
      <c r="L6" s="78">
        <f ca="1">SUMIFS(сводка!$F:$F,сводка!$A:$A,"&gt;"&amp;L$3,сводка!$A:$A,"&lt;="&amp;L$4,сводка!$B:$B,$C$1)/1000000</f>
        <v>0</v>
      </c>
      <c r="R6" s="75">
        <v>44927</v>
      </c>
      <c r="S6" s="72">
        <v>5</v>
      </c>
    </row>
    <row r="7" spans="1:19" x14ac:dyDescent="0.25">
      <c r="B7" s="77" t="s">
        <v>106</v>
      </c>
      <c r="C7" s="78">
        <f ca="1">SUMIFS(сводка!$G:$G,сводка!$A:$A,"&gt;"&amp;C$3,сводка!$A:$A,"&lt;="&amp;C$4,сводка!$B:$B,расчет!$C$1)/1000</f>
        <v>0</v>
      </c>
      <c r="D7" s="78">
        <f ca="1">SUMIFS(сводка!$G:$G,сводка!$A:$A,"&gt;"&amp;D$3,сводка!$A:$A,"&lt;="&amp;D$4,сводка!$B:$B,расчет!$C$1)/1000</f>
        <v>0</v>
      </c>
      <c r="E7" s="78">
        <f ca="1">SUMIFS(сводка!$G:$G,сводка!$A:$A,"&gt;"&amp;E$3,сводка!$A:$A,"&lt;="&amp;E$4,сводка!$B:$B,расчет!$C$1)/1000</f>
        <v>0</v>
      </c>
      <c r="F7" s="78">
        <f ca="1">SUMIFS(сводка!$G:$G,сводка!$A:$A,"&gt;"&amp;F$3,сводка!$A:$A,"&lt;="&amp;F$4,сводка!$B:$B,расчет!$C$1)/1000</f>
        <v>0</v>
      </c>
      <c r="G7" s="78">
        <f ca="1">SUMIFS(сводка!$G:$G,сводка!$A:$A,"&gt;"&amp;G$3,сводка!$A:$A,"&lt;="&amp;G$4,сводка!$B:$B,расчет!$C$1)/1000</f>
        <v>0</v>
      </c>
      <c r="H7" s="78">
        <f ca="1">SUMIFS(сводка!$G:$G,сводка!$A:$A,"&gt;"&amp;H$3,сводка!$A:$A,"&lt;="&amp;H$4,сводка!$B:$B,расчет!$C$1)/1000</f>
        <v>0</v>
      </c>
      <c r="I7" s="78">
        <f ca="1">SUMIFS(сводка!$G:$G,сводка!$A:$A,"&gt;"&amp;I$3,сводка!$A:$A,"&lt;="&amp;I$4,сводка!$B:$B,расчет!$C$1)/1000</f>
        <v>0</v>
      </c>
      <c r="J7" s="78">
        <f ca="1">SUMIFS(сводка!$G:$G,сводка!$A:$A,"&gt;"&amp;J$3,сводка!$A:$A,"&lt;="&amp;J$4,сводка!$B:$B,расчет!$C$1)/1000</f>
        <v>0</v>
      </c>
      <c r="K7" s="78">
        <f ca="1">SUMIFS(сводка!$G:$G,сводка!$A:$A,"&gt;"&amp;K$3,сводка!$A:$A,"&lt;="&amp;K$4,сводка!$B:$B,расчет!$C$1)/1000</f>
        <v>0</v>
      </c>
      <c r="L7" s="78">
        <f ca="1">SUMIFS(сводка!$G:$G,сводка!$A:$A,"&gt;"&amp;L$3,сводка!$A:$A,"&lt;="&amp;L$4,сводка!$B:$B,расчет!$C$1)/1000</f>
        <v>0</v>
      </c>
      <c r="R7" s="75">
        <v>44927</v>
      </c>
      <c r="S7" s="73">
        <v>5</v>
      </c>
    </row>
    <row r="8" spans="1:19" x14ac:dyDescent="0.25">
      <c r="R8" s="75">
        <v>44927</v>
      </c>
      <c r="S8" s="73">
        <v>5</v>
      </c>
    </row>
    <row r="9" spans="1:19" x14ac:dyDescent="0.25">
      <c r="R9" s="75">
        <v>44927</v>
      </c>
      <c r="S9" s="73">
        <v>5</v>
      </c>
    </row>
    <row r="10" spans="1:19" x14ac:dyDescent="0.25">
      <c r="R10" s="75">
        <v>44927</v>
      </c>
      <c r="S10" s="72">
        <v>5</v>
      </c>
    </row>
    <row r="11" spans="1:19" x14ac:dyDescent="0.25">
      <c r="C11" s="74"/>
      <c r="R11" s="75">
        <v>44927</v>
      </c>
      <c r="S11" s="73">
        <v>5</v>
      </c>
    </row>
    <row r="12" spans="1:19" x14ac:dyDescent="0.25">
      <c r="R12" s="75">
        <v>44927</v>
      </c>
      <c r="S12" s="73">
        <v>5</v>
      </c>
    </row>
    <row r="13" spans="1:19" x14ac:dyDescent="0.25">
      <c r="R13" s="75">
        <v>44927</v>
      </c>
      <c r="S13" s="73">
        <v>10</v>
      </c>
    </row>
    <row r="14" spans="1:19" x14ac:dyDescent="0.25">
      <c r="P14"/>
      <c r="Q14"/>
      <c r="R14" s="75"/>
    </row>
    <row r="15" spans="1:19" x14ac:dyDescent="0.25">
      <c r="P15"/>
      <c r="Q15"/>
      <c r="R15" s="75"/>
    </row>
    <row r="16" spans="1:19" x14ac:dyDescent="0.25">
      <c r="C16" s="74"/>
      <c r="P16"/>
      <c r="Q16"/>
      <c r="R16" s="75"/>
    </row>
    <row r="17" spans="3:18" x14ac:dyDescent="0.25">
      <c r="P17"/>
      <c r="Q17"/>
      <c r="R17" s="75"/>
    </row>
    <row r="18" spans="3:18" x14ac:dyDescent="0.25">
      <c r="P18"/>
      <c r="Q18"/>
      <c r="R18" s="75"/>
    </row>
    <row r="19" spans="3:18" x14ac:dyDescent="0.25">
      <c r="P19"/>
      <c r="Q19"/>
      <c r="R19" s="75"/>
    </row>
    <row r="20" spans="3:18" x14ac:dyDescent="0.25">
      <c r="P20"/>
      <c r="Q20"/>
      <c r="R20" s="75"/>
    </row>
    <row r="21" spans="3:18" x14ac:dyDescent="0.25">
      <c r="C21" s="74"/>
      <c r="P21"/>
      <c r="Q21"/>
      <c r="R21" s="75"/>
    </row>
    <row r="22" spans="3:18" x14ac:dyDescent="0.25">
      <c r="P22"/>
      <c r="Q22"/>
      <c r="R22" s="75"/>
    </row>
    <row r="23" spans="3:18" x14ac:dyDescent="0.25">
      <c r="P23"/>
      <c r="Q23"/>
      <c r="R23" s="75"/>
    </row>
    <row r="24" spans="3:18" x14ac:dyDescent="0.25">
      <c r="P24"/>
      <c r="Q24"/>
      <c r="R24" s="75"/>
    </row>
    <row r="25" spans="3:18" x14ac:dyDescent="0.25">
      <c r="P25"/>
      <c r="Q25"/>
      <c r="R25" s="75"/>
    </row>
    <row r="26" spans="3:18" x14ac:dyDescent="0.25">
      <c r="C26" s="74"/>
      <c r="P26"/>
      <c r="Q26"/>
      <c r="R26" s="75"/>
    </row>
    <row r="27" spans="3:18" x14ac:dyDescent="0.25">
      <c r="P27"/>
      <c r="Q27"/>
      <c r="R27" s="75"/>
    </row>
    <row r="28" spans="3:18" x14ac:dyDescent="0.25">
      <c r="P28"/>
      <c r="Q28"/>
      <c r="R28" s="75"/>
    </row>
    <row r="29" spans="3:18" x14ac:dyDescent="0.25">
      <c r="P29"/>
      <c r="Q29"/>
      <c r="R29" s="75"/>
    </row>
    <row r="30" spans="3:18" x14ac:dyDescent="0.25">
      <c r="P30"/>
      <c r="Q30"/>
    </row>
    <row r="31" spans="3:18" x14ac:dyDescent="0.25">
      <c r="C31" s="74"/>
      <c r="P31"/>
      <c r="Q31"/>
    </row>
    <row r="32" spans="3:18" x14ac:dyDescent="0.25">
      <c r="P32"/>
      <c r="Q32"/>
    </row>
    <row r="33" spans="3:17" x14ac:dyDescent="0.25">
      <c r="P33"/>
      <c r="Q33"/>
    </row>
    <row r="34" spans="3:17" x14ac:dyDescent="0.25">
      <c r="P34"/>
      <c r="Q34"/>
    </row>
    <row r="35" spans="3:17" x14ac:dyDescent="0.25">
      <c r="P35"/>
      <c r="Q35"/>
    </row>
    <row r="36" spans="3:17" x14ac:dyDescent="0.25">
      <c r="C36" s="74"/>
      <c r="P36"/>
      <c r="Q36"/>
    </row>
    <row r="37" spans="3:17" x14ac:dyDescent="0.25">
      <c r="P37"/>
      <c r="Q37"/>
    </row>
    <row r="38" spans="3:17" x14ac:dyDescent="0.25">
      <c r="P38"/>
      <c r="Q38"/>
    </row>
    <row r="39" spans="3:17" x14ac:dyDescent="0.25">
      <c r="P39"/>
      <c r="Q39"/>
    </row>
    <row r="40" spans="3:17" x14ac:dyDescent="0.25">
      <c r="P40"/>
      <c r="Q40"/>
    </row>
    <row r="41" spans="3:17" x14ac:dyDescent="0.25">
      <c r="C41" s="74"/>
      <c r="P41"/>
      <c r="Q41"/>
    </row>
    <row r="42" spans="3:17" x14ac:dyDescent="0.25">
      <c r="P42"/>
      <c r="Q42"/>
    </row>
    <row r="43" spans="3:17" x14ac:dyDescent="0.25">
      <c r="P43"/>
      <c r="Q43"/>
    </row>
    <row r="44" spans="3:17" x14ac:dyDescent="0.25">
      <c r="P44"/>
      <c r="Q44"/>
    </row>
    <row r="45" spans="3:17" x14ac:dyDescent="0.25">
      <c r="P45"/>
      <c r="Q45"/>
    </row>
    <row r="46" spans="3:17" x14ac:dyDescent="0.25">
      <c r="C46" s="74"/>
      <c r="P46"/>
      <c r="Q46"/>
    </row>
    <row r="47" spans="3:17" x14ac:dyDescent="0.25">
      <c r="P47"/>
      <c r="Q47"/>
    </row>
    <row r="48" spans="3:17" x14ac:dyDescent="0.25">
      <c r="P48"/>
      <c r="Q48"/>
    </row>
    <row r="49" spans="3:17" x14ac:dyDescent="0.25">
      <c r="P49"/>
      <c r="Q49"/>
    </row>
    <row r="50" spans="3:17" x14ac:dyDescent="0.25">
      <c r="P50"/>
      <c r="Q50"/>
    </row>
    <row r="51" spans="3:17" x14ac:dyDescent="0.25">
      <c r="C51" s="74"/>
      <c r="P51"/>
      <c r="Q51"/>
    </row>
    <row r="52" spans="3:17" x14ac:dyDescent="0.25">
      <c r="P52"/>
      <c r="Q52"/>
    </row>
    <row r="53" spans="3:17" x14ac:dyDescent="0.25">
      <c r="P53"/>
      <c r="Q53"/>
    </row>
    <row r="54" spans="3:17" x14ac:dyDescent="0.25">
      <c r="P54"/>
      <c r="Q54"/>
    </row>
    <row r="55" spans="3:17" x14ac:dyDescent="0.25">
      <c r="P55"/>
      <c r="Q55"/>
    </row>
    <row r="56" spans="3:17" x14ac:dyDescent="0.25">
      <c r="C56" s="74"/>
      <c r="P56"/>
      <c r="Q56"/>
    </row>
    <row r="57" spans="3:17" x14ac:dyDescent="0.25">
      <c r="P57"/>
      <c r="Q57"/>
    </row>
    <row r="58" spans="3:17" x14ac:dyDescent="0.25">
      <c r="P58"/>
      <c r="Q58"/>
    </row>
    <row r="59" spans="3:17" x14ac:dyDescent="0.25">
      <c r="P59"/>
      <c r="Q59"/>
    </row>
    <row r="60" spans="3:17" x14ac:dyDescent="0.25">
      <c r="P60"/>
      <c r="Q60"/>
    </row>
    <row r="61" spans="3:17" x14ac:dyDescent="0.25">
      <c r="C61" s="74"/>
      <c r="P61"/>
      <c r="Q61"/>
    </row>
    <row r="62" spans="3:17" x14ac:dyDescent="0.25">
      <c r="P62"/>
      <c r="Q62"/>
    </row>
    <row r="63" spans="3:17" x14ac:dyDescent="0.25">
      <c r="P63"/>
      <c r="Q63"/>
    </row>
    <row r="64" spans="3:17" x14ac:dyDescent="0.25">
      <c r="P64"/>
      <c r="Q64"/>
    </row>
    <row r="65" spans="3:17" x14ac:dyDescent="0.25">
      <c r="P65"/>
      <c r="Q65"/>
    </row>
    <row r="66" spans="3:17" x14ac:dyDescent="0.25">
      <c r="C66" s="74"/>
      <c r="P66"/>
      <c r="Q66"/>
    </row>
    <row r="67" spans="3:17" x14ac:dyDescent="0.25">
      <c r="P67"/>
      <c r="Q67"/>
    </row>
    <row r="68" spans="3:17" x14ac:dyDescent="0.25">
      <c r="P68"/>
      <c r="Q68"/>
    </row>
    <row r="69" spans="3:17" x14ac:dyDescent="0.25">
      <c r="P69"/>
      <c r="Q69"/>
    </row>
    <row r="70" spans="3:17" x14ac:dyDescent="0.25">
      <c r="P70"/>
      <c r="Q70"/>
    </row>
    <row r="71" spans="3:17" x14ac:dyDescent="0.25">
      <c r="P71"/>
      <c r="Q71"/>
    </row>
    <row r="72" spans="3:17" x14ac:dyDescent="0.25">
      <c r="P72"/>
      <c r="Q72"/>
    </row>
    <row r="73" spans="3:17" x14ac:dyDescent="0.25">
      <c r="P73"/>
      <c r="Q73"/>
    </row>
    <row r="74" spans="3:17" x14ac:dyDescent="0.25">
      <c r="P74"/>
      <c r="Q74"/>
    </row>
    <row r="75" spans="3:17" x14ac:dyDescent="0.25">
      <c r="P75"/>
      <c r="Q75"/>
    </row>
    <row r="76" spans="3:17" x14ac:dyDescent="0.25">
      <c r="P76"/>
      <c r="Q76"/>
    </row>
    <row r="77" spans="3:17" x14ac:dyDescent="0.25">
      <c r="P77"/>
      <c r="Q77"/>
    </row>
    <row r="78" spans="3:17" x14ac:dyDescent="0.25">
      <c r="P78"/>
      <c r="Q78"/>
    </row>
    <row r="79" spans="3:17" x14ac:dyDescent="0.25">
      <c r="P79"/>
      <c r="Q79"/>
    </row>
    <row r="80" spans="3:17" x14ac:dyDescent="0.25">
      <c r="P80"/>
      <c r="Q80"/>
    </row>
    <row r="81" spans="16:17" x14ac:dyDescent="0.25">
      <c r="P81"/>
      <c r="Q81"/>
    </row>
    <row r="82" spans="16:17" x14ac:dyDescent="0.25">
      <c r="P82"/>
      <c r="Q82"/>
    </row>
    <row r="83" spans="16:17" x14ac:dyDescent="0.25">
      <c r="P83"/>
      <c r="Q83"/>
    </row>
    <row r="84" spans="16:17" x14ac:dyDescent="0.25">
      <c r="P84"/>
      <c r="Q84"/>
    </row>
    <row r="85" spans="16:17" x14ac:dyDescent="0.25">
      <c r="P85"/>
      <c r="Q85"/>
    </row>
    <row r="86" spans="16:17" x14ac:dyDescent="0.25">
      <c r="P86"/>
      <c r="Q86"/>
    </row>
    <row r="87" spans="16:17" x14ac:dyDescent="0.25">
      <c r="P87"/>
      <c r="Q87"/>
    </row>
    <row r="88" spans="16:17" x14ac:dyDescent="0.25">
      <c r="P88"/>
      <c r="Q88"/>
    </row>
    <row r="89" spans="16:17" x14ac:dyDescent="0.25">
      <c r="P89"/>
      <c r="Q89"/>
    </row>
    <row r="90" spans="16:17" x14ac:dyDescent="0.25">
      <c r="P90"/>
      <c r="Q90"/>
    </row>
    <row r="91" spans="16:17" x14ac:dyDescent="0.25">
      <c r="P91"/>
      <c r="Q91"/>
    </row>
    <row r="92" spans="16:17" x14ac:dyDescent="0.25">
      <c r="P92"/>
      <c r="Q92"/>
    </row>
    <row r="93" spans="16:17" x14ac:dyDescent="0.25">
      <c r="P93"/>
      <c r="Q93"/>
    </row>
    <row r="94" spans="16:17" x14ac:dyDescent="0.25">
      <c r="P94"/>
      <c r="Q94"/>
    </row>
    <row r="95" spans="16:17" x14ac:dyDescent="0.25">
      <c r="P95"/>
      <c r="Q95"/>
    </row>
    <row r="96" spans="16:17" x14ac:dyDescent="0.25">
      <c r="P96"/>
      <c r="Q96"/>
    </row>
    <row r="97" spans="16:17" x14ac:dyDescent="0.25">
      <c r="P97"/>
      <c r="Q97"/>
    </row>
    <row r="98" spans="16:17" x14ac:dyDescent="0.25">
      <c r="P98"/>
      <c r="Q98"/>
    </row>
    <row r="99" spans="16:17" x14ac:dyDescent="0.25">
      <c r="P99"/>
      <c r="Q99"/>
    </row>
    <row r="100" spans="16:17" x14ac:dyDescent="0.25">
      <c r="P100"/>
      <c r="Q100"/>
    </row>
    <row r="101" spans="16:17" x14ac:dyDescent="0.25">
      <c r="P101"/>
      <c r="Q101"/>
    </row>
    <row r="102" spans="16:17" x14ac:dyDescent="0.25">
      <c r="P102"/>
      <c r="Q102"/>
    </row>
    <row r="103" spans="16:17" x14ac:dyDescent="0.25">
      <c r="P103"/>
      <c r="Q103"/>
    </row>
    <row r="104" spans="16:17" x14ac:dyDescent="0.25">
      <c r="P104"/>
      <c r="Q104"/>
    </row>
    <row r="105" spans="16:17" x14ac:dyDescent="0.25">
      <c r="P105"/>
      <c r="Q105"/>
    </row>
    <row r="106" spans="16:17" x14ac:dyDescent="0.25">
      <c r="P106"/>
      <c r="Q106"/>
    </row>
    <row r="107" spans="16:17" x14ac:dyDescent="0.25">
      <c r="P107"/>
      <c r="Q107"/>
    </row>
    <row r="108" spans="16:17" x14ac:dyDescent="0.25">
      <c r="P108"/>
      <c r="Q108"/>
    </row>
    <row r="109" spans="16:17" x14ac:dyDescent="0.25">
      <c r="P109"/>
      <c r="Q109"/>
    </row>
    <row r="110" spans="16:17" x14ac:dyDescent="0.25">
      <c r="P110"/>
      <c r="Q110"/>
    </row>
    <row r="111" spans="16:17" x14ac:dyDescent="0.25">
      <c r="P111"/>
      <c r="Q111"/>
    </row>
    <row r="112" spans="16:17" x14ac:dyDescent="0.25">
      <c r="P112"/>
      <c r="Q112"/>
    </row>
    <row r="113" spans="16:17" x14ac:dyDescent="0.25">
      <c r="P113"/>
      <c r="Q113"/>
    </row>
    <row r="114" spans="16:17" x14ac:dyDescent="0.25">
      <c r="P114"/>
      <c r="Q114"/>
    </row>
    <row r="115" spans="16:17" x14ac:dyDescent="0.25">
      <c r="P115"/>
      <c r="Q115"/>
    </row>
    <row r="116" spans="16:17" x14ac:dyDescent="0.25">
      <c r="P116"/>
      <c r="Q116"/>
    </row>
    <row r="117" spans="16:17" x14ac:dyDescent="0.25">
      <c r="P117"/>
      <c r="Q117"/>
    </row>
    <row r="118" spans="16:17" x14ac:dyDescent="0.25">
      <c r="P118"/>
      <c r="Q118"/>
    </row>
    <row r="119" spans="16:17" x14ac:dyDescent="0.25">
      <c r="P119"/>
      <c r="Q119"/>
    </row>
    <row r="120" spans="16:17" x14ac:dyDescent="0.25">
      <c r="P120"/>
      <c r="Q120"/>
    </row>
    <row r="121" spans="16:17" x14ac:dyDescent="0.25">
      <c r="P121"/>
      <c r="Q121"/>
    </row>
    <row r="122" spans="16:17" x14ac:dyDescent="0.25">
      <c r="P122"/>
      <c r="Q122"/>
    </row>
    <row r="123" spans="16:17" x14ac:dyDescent="0.25">
      <c r="P123"/>
      <c r="Q123"/>
    </row>
    <row r="124" spans="16:17" x14ac:dyDescent="0.25">
      <c r="P124"/>
      <c r="Q124"/>
    </row>
    <row r="125" spans="16:17" x14ac:dyDescent="0.25">
      <c r="P125"/>
      <c r="Q125"/>
    </row>
    <row r="126" spans="16:17" x14ac:dyDescent="0.25">
      <c r="P126"/>
      <c r="Q126"/>
    </row>
    <row r="127" spans="16:17" x14ac:dyDescent="0.25">
      <c r="P127"/>
      <c r="Q127"/>
    </row>
    <row r="128" spans="16:17" x14ac:dyDescent="0.25">
      <c r="P128"/>
      <c r="Q128"/>
    </row>
    <row r="129" spans="16:17" x14ac:dyDescent="0.25">
      <c r="P129"/>
      <c r="Q129"/>
    </row>
    <row r="130" spans="16:17" x14ac:dyDescent="0.25">
      <c r="P130"/>
      <c r="Q130"/>
    </row>
    <row r="131" spans="16:17" x14ac:dyDescent="0.25">
      <c r="P131"/>
      <c r="Q131"/>
    </row>
    <row r="132" spans="16:17" x14ac:dyDescent="0.25">
      <c r="P132"/>
      <c r="Q132"/>
    </row>
    <row r="133" spans="16:17" x14ac:dyDescent="0.25">
      <c r="P133"/>
      <c r="Q133"/>
    </row>
    <row r="134" spans="16:17" x14ac:dyDescent="0.25">
      <c r="P134"/>
      <c r="Q134"/>
    </row>
    <row r="135" spans="16:17" x14ac:dyDescent="0.25">
      <c r="P135"/>
      <c r="Q135"/>
    </row>
    <row r="136" spans="16:17" x14ac:dyDescent="0.25">
      <c r="P136"/>
      <c r="Q136"/>
    </row>
    <row r="137" spans="16:17" x14ac:dyDescent="0.25">
      <c r="P137"/>
      <c r="Q137"/>
    </row>
    <row r="138" spans="16:17" x14ac:dyDescent="0.25">
      <c r="P138"/>
      <c r="Q138"/>
    </row>
    <row r="139" spans="16:17" x14ac:dyDescent="0.25">
      <c r="P139"/>
      <c r="Q139"/>
    </row>
    <row r="140" spans="16:17" x14ac:dyDescent="0.25">
      <c r="P140"/>
      <c r="Q140"/>
    </row>
    <row r="141" spans="16:17" x14ac:dyDescent="0.25">
      <c r="P141"/>
      <c r="Q141"/>
    </row>
    <row r="142" spans="16:17" x14ac:dyDescent="0.25">
      <c r="P142"/>
      <c r="Q142"/>
    </row>
    <row r="143" spans="16:17" x14ac:dyDescent="0.25">
      <c r="P143"/>
      <c r="Q143"/>
    </row>
    <row r="144" spans="16:17" x14ac:dyDescent="0.25">
      <c r="P144"/>
      <c r="Q144"/>
    </row>
    <row r="145" spans="16:17" x14ac:dyDescent="0.25">
      <c r="P145"/>
      <c r="Q145"/>
    </row>
    <row r="146" spans="16:17" x14ac:dyDescent="0.25">
      <c r="P146"/>
      <c r="Q146"/>
    </row>
    <row r="147" spans="16:17" x14ac:dyDescent="0.25">
      <c r="P147"/>
      <c r="Q147"/>
    </row>
    <row r="148" spans="16:17" x14ac:dyDescent="0.25">
      <c r="P148"/>
      <c r="Q148"/>
    </row>
    <row r="149" spans="16:17" x14ac:dyDescent="0.25">
      <c r="P149"/>
      <c r="Q149"/>
    </row>
    <row r="150" spans="16:17" x14ac:dyDescent="0.25">
      <c r="P150"/>
      <c r="Q150"/>
    </row>
    <row r="151" spans="16:17" x14ac:dyDescent="0.25">
      <c r="P151"/>
      <c r="Q151"/>
    </row>
    <row r="152" spans="16:17" x14ac:dyDescent="0.25">
      <c r="P152"/>
      <c r="Q152"/>
    </row>
    <row r="153" spans="16:17" x14ac:dyDescent="0.25">
      <c r="P153"/>
      <c r="Q153"/>
    </row>
    <row r="154" spans="16:17" x14ac:dyDescent="0.25">
      <c r="P154"/>
      <c r="Q154"/>
    </row>
    <row r="155" spans="16:17" x14ac:dyDescent="0.25">
      <c r="P155"/>
      <c r="Q155"/>
    </row>
    <row r="156" spans="16:17" x14ac:dyDescent="0.25">
      <c r="P156"/>
      <c r="Q156"/>
    </row>
    <row r="157" spans="16:17" x14ac:dyDescent="0.25">
      <c r="P157"/>
      <c r="Q157"/>
    </row>
    <row r="158" spans="16:17" x14ac:dyDescent="0.25">
      <c r="P158"/>
      <c r="Q158"/>
    </row>
    <row r="159" spans="16:17" x14ac:dyDescent="0.25">
      <c r="P159"/>
      <c r="Q159"/>
    </row>
    <row r="160" spans="16:17" x14ac:dyDescent="0.25">
      <c r="P160"/>
      <c r="Q160"/>
    </row>
    <row r="161" spans="16:17" x14ac:dyDescent="0.25">
      <c r="P161"/>
      <c r="Q161"/>
    </row>
    <row r="162" spans="16:17" x14ac:dyDescent="0.25">
      <c r="P162"/>
      <c r="Q162"/>
    </row>
    <row r="163" spans="16:17" x14ac:dyDescent="0.25">
      <c r="P163"/>
      <c r="Q163"/>
    </row>
    <row r="164" spans="16:17" x14ac:dyDescent="0.25">
      <c r="P164"/>
      <c r="Q164"/>
    </row>
    <row r="165" spans="16:17" x14ac:dyDescent="0.25">
      <c r="P165"/>
      <c r="Q165"/>
    </row>
    <row r="166" spans="16:17" x14ac:dyDescent="0.25">
      <c r="P166"/>
      <c r="Q166"/>
    </row>
    <row r="167" spans="16:17" x14ac:dyDescent="0.25">
      <c r="P167"/>
      <c r="Q167"/>
    </row>
    <row r="168" spans="16:17" x14ac:dyDescent="0.25">
      <c r="P168"/>
      <c r="Q168"/>
    </row>
    <row r="169" spans="16:17" x14ac:dyDescent="0.25">
      <c r="P169"/>
      <c r="Q169"/>
    </row>
    <row r="170" spans="16:17" x14ac:dyDescent="0.25">
      <c r="P170"/>
      <c r="Q170"/>
    </row>
    <row r="171" spans="16:17" x14ac:dyDescent="0.25">
      <c r="P171"/>
      <c r="Q171"/>
    </row>
    <row r="172" spans="16:17" x14ac:dyDescent="0.25">
      <c r="P172"/>
      <c r="Q172"/>
    </row>
    <row r="173" spans="16:17" x14ac:dyDescent="0.25">
      <c r="P173"/>
      <c r="Q173"/>
    </row>
    <row r="174" spans="16:17" x14ac:dyDescent="0.25">
      <c r="P174"/>
      <c r="Q174"/>
    </row>
    <row r="175" spans="16:17" x14ac:dyDescent="0.25">
      <c r="P175"/>
      <c r="Q175"/>
    </row>
    <row r="176" spans="16:17" x14ac:dyDescent="0.25">
      <c r="P176"/>
      <c r="Q176"/>
    </row>
    <row r="177" spans="16:17" x14ac:dyDescent="0.25">
      <c r="P177"/>
      <c r="Q177"/>
    </row>
    <row r="178" spans="16:17" x14ac:dyDescent="0.25">
      <c r="P178"/>
      <c r="Q178"/>
    </row>
    <row r="179" spans="16:17" x14ac:dyDescent="0.25">
      <c r="P179"/>
      <c r="Q179"/>
    </row>
    <row r="180" spans="16:17" x14ac:dyDescent="0.25">
      <c r="P180"/>
      <c r="Q180"/>
    </row>
    <row r="181" spans="16:17" x14ac:dyDescent="0.25">
      <c r="P181"/>
      <c r="Q181"/>
    </row>
    <row r="182" spans="16:17" x14ac:dyDescent="0.25">
      <c r="P182"/>
      <c r="Q182"/>
    </row>
    <row r="183" spans="16:17" x14ac:dyDescent="0.25">
      <c r="P183"/>
      <c r="Q183"/>
    </row>
    <row r="184" spans="16:17" x14ac:dyDescent="0.25">
      <c r="P184"/>
      <c r="Q184"/>
    </row>
    <row r="185" spans="16:17" x14ac:dyDescent="0.25">
      <c r="P185"/>
      <c r="Q185"/>
    </row>
    <row r="186" spans="16:17" x14ac:dyDescent="0.25">
      <c r="P186"/>
      <c r="Q186"/>
    </row>
    <row r="187" spans="16:17" x14ac:dyDescent="0.25">
      <c r="P187"/>
      <c r="Q187"/>
    </row>
    <row r="188" spans="16:17" x14ac:dyDescent="0.25">
      <c r="P188"/>
      <c r="Q188"/>
    </row>
    <row r="189" spans="16:17" x14ac:dyDescent="0.25">
      <c r="P189"/>
      <c r="Q189"/>
    </row>
    <row r="190" spans="16:17" x14ac:dyDescent="0.25">
      <c r="P190"/>
      <c r="Q190"/>
    </row>
    <row r="191" spans="16:17" x14ac:dyDescent="0.25">
      <c r="P191"/>
      <c r="Q191"/>
    </row>
    <row r="192" spans="16:17" x14ac:dyDescent="0.25">
      <c r="P192"/>
      <c r="Q192"/>
    </row>
    <row r="193" spans="16:17" x14ac:dyDescent="0.25">
      <c r="P193"/>
      <c r="Q193"/>
    </row>
    <row r="194" spans="16:17" x14ac:dyDescent="0.25">
      <c r="P194"/>
      <c r="Q194"/>
    </row>
    <row r="195" spans="16:17" x14ac:dyDescent="0.25">
      <c r="P195"/>
      <c r="Q195"/>
    </row>
    <row r="196" spans="16:17" x14ac:dyDescent="0.25">
      <c r="P196"/>
      <c r="Q196"/>
    </row>
    <row r="197" spans="16:17" x14ac:dyDescent="0.25">
      <c r="P197"/>
      <c r="Q197"/>
    </row>
    <row r="198" spans="16:17" x14ac:dyDescent="0.25">
      <c r="P198"/>
      <c r="Q198"/>
    </row>
    <row r="199" spans="16:17" x14ac:dyDescent="0.25">
      <c r="P199"/>
      <c r="Q199"/>
    </row>
    <row r="200" spans="16:17" x14ac:dyDescent="0.25">
      <c r="P200"/>
      <c r="Q200"/>
    </row>
    <row r="201" spans="16:17" x14ac:dyDescent="0.25">
      <c r="P201"/>
      <c r="Q201"/>
    </row>
    <row r="202" spans="16:17" x14ac:dyDescent="0.25">
      <c r="P202"/>
      <c r="Q202"/>
    </row>
    <row r="203" spans="16:17" x14ac:dyDescent="0.25">
      <c r="P203"/>
      <c r="Q203"/>
    </row>
    <row r="204" spans="16:17" x14ac:dyDescent="0.25">
      <c r="P204"/>
      <c r="Q204"/>
    </row>
    <row r="205" spans="16:17" x14ac:dyDescent="0.25">
      <c r="P205"/>
      <c r="Q205"/>
    </row>
    <row r="206" spans="16:17" x14ac:dyDescent="0.25">
      <c r="P206"/>
      <c r="Q206"/>
    </row>
    <row r="207" spans="16:17" x14ac:dyDescent="0.25">
      <c r="P207"/>
      <c r="Q207"/>
    </row>
    <row r="208" spans="16:17" x14ac:dyDescent="0.25">
      <c r="P208"/>
      <c r="Q208"/>
    </row>
    <row r="209" spans="16:17" x14ac:dyDescent="0.25">
      <c r="P209"/>
      <c r="Q209"/>
    </row>
    <row r="210" spans="16:17" x14ac:dyDescent="0.25">
      <c r="P210"/>
      <c r="Q210"/>
    </row>
    <row r="211" spans="16:17" x14ac:dyDescent="0.25">
      <c r="P211"/>
      <c r="Q211"/>
    </row>
    <row r="212" spans="16:17" x14ac:dyDescent="0.25">
      <c r="P212"/>
      <c r="Q212"/>
    </row>
    <row r="213" spans="16:17" x14ac:dyDescent="0.25">
      <c r="P213"/>
      <c r="Q213"/>
    </row>
    <row r="214" spans="16:17" x14ac:dyDescent="0.25">
      <c r="P214"/>
      <c r="Q214"/>
    </row>
    <row r="215" spans="16:17" x14ac:dyDescent="0.25">
      <c r="P215"/>
      <c r="Q215"/>
    </row>
    <row r="216" spans="16:17" x14ac:dyDescent="0.25">
      <c r="P216"/>
      <c r="Q216"/>
    </row>
    <row r="217" spans="16:17" x14ac:dyDescent="0.25">
      <c r="P217"/>
      <c r="Q217"/>
    </row>
    <row r="218" spans="16:17" x14ac:dyDescent="0.25">
      <c r="P218"/>
      <c r="Q218"/>
    </row>
    <row r="219" spans="16:17" x14ac:dyDescent="0.25">
      <c r="P219"/>
      <c r="Q219"/>
    </row>
    <row r="220" spans="16:17" x14ac:dyDescent="0.25">
      <c r="P220"/>
      <c r="Q220"/>
    </row>
    <row r="221" spans="16:17" x14ac:dyDescent="0.25">
      <c r="P221"/>
      <c r="Q221"/>
    </row>
    <row r="222" spans="16:17" x14ac:dyDescent="0.25">
      <c r="P222"/>
      <c r="Q222"/>
    </row>
    <row r="223" spans="16:17" x14ac:dyDescent="0.25">
      <c r="P223"/>
      <c r="Q223"/>
    </row>
    <row r="224" spans="16:17" x14ac:dyDescent="0.25">
      <c r="P224"/>
      <c r="Q224"/>
    </row>
    <row r="225" spans="16:17" x14ac:dyDescent="0.25">
      <c r="P225"/>
      <c r="Q225"/>
    </row>
    <row r="226" spans="16:17" x14ac:dyDescent="0.25">
      <c r="P226"/>
      <c r="Q226"/>
    </row>
    <row r="227" spans="16:17" x14ac:dyDescent="0.25">
      <c r="P227"/>
      <c r="Q227"/>
    </row>
    <row r="228" spans="16:17" x14ac:dyDescent="0.25">
      <c r="P228"/>
      <c r="Q228"/>
    </row>
    <row r="229" spans="16:17" x14ac:dyDescent="0.25">
      <c r="P229"/>
      <c r="Q229"/>
    </row>
    <row r="230" spans="16:17" x14ac:dyDescent="0.25">
      <c r="P230"/>
      <c r="Q230"/>
    </row>
    <row r="231" spans="16:17" x14ac:dyDescent="0.25">
      <c r="P231"/>
      <c r="Q231"/>
    </row>
    <row r="232" spans="16:17" x14ac:dyDescent="0.25">
      <c r="P232"/>
      <c r="Q232"/>
    </row>
    <row r="233" spans="16:17" x14ac:dyDescent="0.25">
      <c r="P233"/>
      <c r="Q233"/>
    </row>
    <row r="234" spans="16:17" x14ac:dyDescent="0.25">
      <c r="P234"/>
      <c r="Q234"/>
    </row>
    <row r="235" spans="16:17" x14ac:dyDescent="0.25">
      <c r="P235"/>
      <c r="Q235"/>
    </row>
    <row r="236" spans="16:17" x14ac:dyDescent="0.25">
      <c r="P236"/>
      <c r="Q236"/>
    </row>
    <row r="237" spans="16:17" x14ac:dyDescent="0.25">
      <c r="P237"/>
      <c r="Q237"/>
    </row>
    <row r="238" spans="16:17" x14ac:dyDescent="0.25">
      <c r="P238"/>
      <c r="Q238"/>
    </row>
    <row r="239" spans="16:17" x14ac:dyDescent="0.25">
      <c r="P239"/>
      <c r="Q239"/>
    </row>
    <row r="240" spans="16:17" x14ac:dyDescent="0.25">
      <c r="P240"/>
      <c r="Q240"/>
    </row>
    <row r="241" spans="16:17" x14ac:dyDescent="0.25">
      <c r="P241"/>
      <c r="Q241"/>
    </row>
    <row r="242" spans="16:17" x14ac:dyDescent="0.25">
      <c r="P242"/>
      <c r="Q242"/>
    </row>
    <row r="243" spans="16:17" x14ac:dyDescent="0.25">
      <c r="P243"/>
      <c r="Q243"/>
    </row>
    <row r="244" spans="16:17" x14ac:dyDescent="0.25">
      <c r="P244"/>
      <c r="Q244"/>
    </row>
    <row r="245" spans="16:17" x14ac:dyDescent="0.25">
      <c r="P245"/>
      <c r="Q245"/>
    </row>
    <row r="246" spans="16:17" x14ac:dyDescent="0.25">
      <c r="P246"/>
      <c r="Q246"/>
    </row>
    <row r="247" spans="16:17" x14ac:dyDescent="0.25">
      <c r="P247"/>
      <c r="Q247"/>
    </row>
    <row r="248" spans="16:17" x14ac:dyDescent="0.25">
      <c r="P248"/>
      <c r="Q248"/>
    </row>
    <row r="249" spans="16:17" x14ac:dyDescent="0.25">
      <c r="P249"/>
      <c r="Q249"/>
    </row>
    <row r="250" spans="16:17" x14ac:dyDescent="0.25">
      <c r="P250"/>
      <c r="Q250"/>
    </row>
    <row r="251" spans="16:17" x14ac:dyDescent="0.25">
      <c r="P251"/>
      <c r="Q251"/>
    </row>
    <row r="252" spans="16:17" x14ac:dyDescent="0.25">
      <c r="P252"/>
      <c r="Q252"/>
    </row>
    <row r="253" spans="16:17" x14ac:dyDescent="0.25">
      <c r="P253"/>
      <c r="Q253"/>
    </row>
    <row r="254" spans="16:17" x14ac:dyDescent="0.25">
      <c r="P254"/>
      <c r="Q254"/>
    </row>
    <row r="255" spans="16:17" x14ac:dyDescent="0.25">
      <c r="P255"/>
      <c r="Q255"/>
    </row>
    <row r="256" spans="16:17" x14ac:dyDescent="0.25">
      <c r="P256"/>
      <c r="Q256"/>
    </row>
    <row r="257" spans="16:17" x14ac:dyDescent="0.25">
      <c r="P257"/>
      <c r="Q257"/>
    </row>
    <row r="258" spans="16:17" x14ac:dyDescent="0.25">
      <c r="P258"/>
      <c r="Q258"/>
    </row>
    <row r="259" spans="16:17" x14ac:dyDescent="0.25">
      <c r="P259"/>
      <c r="Q259"/>
    </row>
    <row r="260" spans="16:17" x14ac:dyDescent="0.25">
      <c r="P260"/>
      <c r="Q260"/>
    </row>
    <row r="261" spans="16:17" x14ac:dyDescent="0.25">
      <c r="P261"/>
      <c r="Q261"/>
    </row>
    <row r="262" spans="16:17" x14ac:dyDescent="0.25">
      <c r="P262"/>
      <c r="Q262"/>
    </row>
    <row r="263" spans="16:17" x14ac:dyDescent="0.25">
      <c r="P263"/>
      <c r="Q263"/>
    </row>
    <row r="264" spans="16:17" x14ac:dyDescent="0.25">
      <c r="P264"/>
      <c r="Q264"/>
    </row>
    <row r="265" spans="16:17" x14ac:dyDescent="0.25">
      <c r="P265"/>
      <c r="Q265"/>
    </row>
    <row r="266" spans="16:17" x14ac:dyDescent="0.25">
      <c r="P266"/>
      <c r="Q266"/>
    </row>
    <row r="267" spans="16:17" x14ac:dyDescent="0.25">
      <c r="P267"/>
      <c r="Q267"/>
    </row>
    <row r="268" spans="16:17" x14ac:dyDescent="0.25">
      <c r="P268"/>
      <c r="Q268"/>
    </row>
    <row r="269" spans="16:17" x14ac:dyDescent="0.25">
      <c r="P269"/>
      <c r="Q269"/>
    </row>
    <row r="270" spans="16:17" x14ac:dyDescent="0.25">
      <c r="P270"/>
      <c r="Q270"/>
    </row>
    <row r="271" spans="16:17" x14ac:dyDescent="0.25">
      <c r="P271"/>
      <c r="Q271"/>
    </row>
    <row r="272" spans="16:17" x14ac:dyDescent="0.25">
      <c r="P272"/>
      <c r="Q272"/>
    </row>
    <row r="273" spans="16:17" x14ac:dyDescent="0.25">
      <c r="P273"/>
      <c r="Q273"/>
    </row>
    <row r="274" spans="16:17" x14ac:dyDescent="0.25">
      <c r="P274"/>
      <c r="Q274"/>
    </row>
    <row r="275" spans="16:17" x14ac:dyDescent="0.25">
      <c r="P275"/>
      <c r="Q275"/>
    </row>
    <row r="276" spans="16:17" x14ac:dyDescent="0.25">
      <c r="P276"/>
      <c r="Q276"/>
    </row>
    <row r="277" spans="16:17" x14ac:dyDescent="0.25">
      <c r="P277"/>
      <c r="Q277"/>
    </row>
    <row r="278" spans="16:17" x14ac:dyDescent="0.25">
      <c r="P278"/>
      <c r="Q278"/>
    </row>
    <row r="279" spans="16:17" x14ac:dyDescent="0.25">
      <c r="P279"/>
      <c r="Q279"/>
    </row>
    <row r="280" spans="16:17" x14ac:dyDescent="0.25">
      <c r="P280"/>
      <c r="Q280"/>
    </row>
    <row r="281" spans="16:17" x14ac:dyDescent="0.25">
      <c r="P281"/>
      <c r="Q281"/>
    </row>
    <row r="282" spans="16:17" x14ac:dyDescent="0.25">
      <c r="P282"/>
      <c r="Q282"/>
    </row>
    <row r="283" spans="16:17" x14ac:dyDescent="0.25">
      <c r="P283"/>
      <c r="Q283"/>
    </row>
    <row r="284" spans="16:17" x14ac:dyDescent="0.25">
      <c r="P284"/>
      <c r="Q284"/>
    </row>
    <row r="285" spans="16:17" x14ac:dyDescent="0.25">
      <c r="P285"/>
      <c r="Q285"/>
    </row>
    <row r="286" spans="16:17" x14ac:dyDescent="0.25">
      <c r="P286"/>
      <c r="Q286"/>
    </row>
    <row r="287" spans="16:17" x14ac:dyDescent="0.25">
      <c r="P287"/>
      <c r="Q287"/>
    </row>
    <row r="288" spans="16:17" x14ac:dyDescent="0.25">
      <c r="P288"/>
      <c r="Q288"/>
    </row>
    <row r="289" spans="16:17" x14ac:dyDescent="0.25">
      <c r="P289"/>
      <c r="Q289"/>
    </row>
    <row r="290" spans="16:17" x14ac:dyDescent="0.25">
      <c r="P290"/>
      <c r="Q290"/>
    </row>
    <row r="291" spans="16:17" x14ac:dyDescent="0.25">
      <c r="P291"/>
      <c r="Q291"/>
    </row>
    <row r="292" spans="16:17" x14ac:dyDescent="0.25">
      <c r="P292"/>
      <c r="Q292"/>
    </row>
    <row r="293" spans="16:17" x14ac:dyDescent="0.25">
      <c r="P293"/>
      <c r="Q293"/>
    </row>
    <row r="294" spans="16:17" x14ac:dyDescent="0.25">
      <c r="P294"/>
      <c r="Q294"/>
    </row>
    <row r="295" spans="16:17" x14ac:dyDescent="0.25">
      <c r="P295"/>
      <c r="Q295"/>
    </row>
    <row r="296" spans="16:17" x14ac:dyDescent="0.25">
      <c r="P296"/>
      <c r="Q296"/>
    </row>
    <row r="297" spans="16:17" x14ac:dyDescent="0.25">
      <c r="P297"/>
      <c r="Q297"/>
    </row>
    <row r="298" spans="16:17" x14ac:dyDescent="0.25">
      <c r="P298"/>
      <c r="Q298"/>
    </row>
    <row r="299" spans="16:17" x14ac:dyDescent="0.25">
      <c r="P299"/>
      <c r="Q299"/>
    </row>
    <row r="300" spans="16:17" x14ac:dyDescent="0.25">
      <c r="P300"/>
      <c r="Q300"/>
    </row>
    <row r="301" spans="16:17" x14ac:dyDescent="0.25">
      <c r="P301"/>
      <c r="Q301"/>
    </row>
    <row r="302" spans="16:17" x14ac:dyDescent="0.25">
      <c r="P302"/>
      <c r="Q302"/>
    </row>
    <row r="303" spans="16:17" x14ac:dyDescent="0.25">
      <c r="P303"/>
      <c r="Q303"/>
    </row>
    <row r="304" spans="16:17" x14ac:dyDescent="0.25">
      <c r="P304"/>
      <c r="Q304"/>
    </row>
    <row r="305" spans="16:17" x14ac:dyDescent="0.25">
      <c r="P305"/>
      <c r="Q305"/>
    </row>
    <row r="306" spans="16:17" x14ac:dyDescent="0.25">
      <c r="P306"/>
      <c r="Q306"/>
    </row>
    <row r="307" spans="16:17" x14ac:dyDescent="0.25">
      <c r="P307"/>
      <c r="Q307"/>
    </row>
    <row r="308" spans="16:17" x14ac:dyDescent="0.25">
      <c r="P308"/>
      <c r="Q308"/>
    </row>
    <row r="309" spans="16:17" x14ac:dyDescent="0.25">
      <c r="P309"/>
      <c r="Q309"/>
    </row>
    <row r="310" spans="16:17" x14ac:dyDescent="0.25">
      <c r="P310"/>
      <c r="Q310"/>
    </row>
    <row r="311" spans="16:17" x14ac:dyDescent="0.25">
      <c r="P311"/>
      <c r="Q311"/>
    </row>
    <row r="312" spans="16:17" x14ac:dyDescent="0.25">
      <c r="P312"/>
      <c r="Q312"/>
    </row>
    <row r="313" spans="16:17" x14ac:dyDescent="0.25">
      <c r="P313"/>
      <c r="Q313"/>
    </row>
    <row r="314" spans="16:17" x14ac:dyDescent="0.25">
      <c r="P314"/>
      <c r="Q314"/>
    </row>
    <row r="315" spans="16:17" x14ac:dyDescent="0.25">
      <c r="P315"/>
      <c r="Q315"/>
    </row>
    <row r="316" spans="16:17" x14ac:dyDescent="0.25">
      <c r="P316"/>
      <c r="Q316"/>
    </row>
    <row r="317" spans="16:17" x14ac:dyDescent="0.25">
      <c r="P317"/>
      <c r="Q317"/>
    </row>
    <row r="318" spans="16:17" x14ac:dyDescent="0.25">
      <c r="P318"/>
      <c r="Q318"/>
    </row>
    <row r="319" spans="16:17" x14ac:dyDescent="0.25">
      <c r="P319"/>
      <c r="Q319"/>
    </row>
    <row r="320" spans="16:17" x14ac:dyDescent="0.25">
      <c r="P320"/>
      <c r="Q320"/>
    </row>
    <row r="321" spans="16:17" x14ac:dyDescent="0.25">
      <c r="P321"/>
      <c r="Q321"/>
    </row>
    <row r="322" spans="16:17" x14ac:dyDescent="0.25">
      <c r="P322"/>
      <c r="Q322"/>
    </row>
    <row r="323" spans="16:17" x14ac:dyDescent="0.25">
      <c r="P323"/>
      <c r="Q323"/>
    </row>
    <row r="324" spans="16:17" x14ac:dyDescent="0.25">
      <c r="P324"/>
      <c r="Q324"/>
    </row>
    <row r="325" spans="16:17" x14ac:dyDescent="0.25">
      <c r="P325"/>
      <c r="Q325"/>
    </row>
    <row r="326" spans="16:17" x14ac:dyDescent="0.25">
      <c r="P326"/>
      <c r="Q326"/>
    </row>
    <row r="327" spans="16:17" x14ac:dyDescent="0.25">
      <c r="P327"/>
      <c r="Q327"/>
    </row>
    <row r="328" spans="16:17" x14ac:dyDescent="0.25">
      <c r="P328"/>
      <c r="Q328"/>
    </row>
    <row r="329" spans="16:17" x14ac:dyDescent="0.25">
      <c r="P329"/>
      <c r="Q329"/>
    </row>
    <row r="330" spans="16:17" x14ac:dyDescent="0.25">
      <c r="P330"/>
      <c r="Q330"/>
    </row>
    <row r="331" spans="16:17" x14ac:dyDescent="0.25">
      <c r="P331"/>
      <c r="Q331"/>
    </row>
    <row r="332" spans="16:17" x14ac:dyDescent="0.25">
      <c r="P332"/>
      <c r="Q332"/>
    </row>
    <row r="333" spans="16:17" x14ac:dyDescent="0.25">
      <c r="P333"/>
      <c r="Q333"/>
    </row>
    <row r="334" spans="16:17" x14ac:dyDescent="0.25">
      <c r="P334"/>
      <c r="Q334"/>
    </row>
    <row r="335" spans="16:17" x14ac:dyDescent="0.25">
      <c r="P335"/>
      <c r="Q335"/>
    </row>
    <row r="336" spans="16:17" x14ac:dyDescent="0.25">
      <c r="P336"/>
      <c r="Q336"/>
    </row>
    <row r="337" spans="16:17" x14ac:dyDescent="0.25">
      <c r="P337"/>
      <c r="Q337"/>
    </row>
    <row r="338" spans="16:17" x14ac:dyDescent="0.25">
      <c r="P338"/>
      <c r="Q338"/>
    </row>
    <row r="339" spans="16:17" x14ac:dyDescent="0.25">
      <c r="P339"/>
      <c r="Q339"/>
    </row>
    <row r="340" spans="16:17" x14ac:dyDescent="0.25">
      <c r="P340"/>
      <c r="Q340"/>
    </row>
    <row r="341" spans="16:17" x14ac:dyDescent="0.25">
      <c r="P341"/>
      <c r="Q341"/>
    </row>
    <row r="342" spans="16:17" x14ac:dyDescent="0.25">
      <c r="P342"/>
      <c r="Q342"/>
    </row>
    <row r="343" spans="16:17" x14ac:dyDescent="0.25">
      <c r="P343"/>
      <c r="Q343"/>
    </row>
    <row r="344" spans="16:17" x14ac:dyDescent="0.25">
      <c r="P344"/>
      <c r="Q344"/>
    </row>
    <row r="345" spans="16:17" x14ac:dyDescent="0.25">
      <c r="P345"/>
      <c r="Q345"/>
    </row>
    <row r="346" spans="16:17" x14ac:dyDescent="0.25">
      <c r="P346"/>
      <c r="Q346"/>
    </row>
    <row r="347" spans="16:17" x14ac:dyDescent="0.25">
      <c r="P347"/>
      <c r="Q347"/>
    </row>
    <row r="348" spans="16:17" x14ac:dyDescent="0.25">
      <c r="P348"/>
      <c r="Q348"/>
    </row>
    <row r="349" spans="16:17" x14ac:dyDescent="0.25">
      <c r="P349"/>
      <c r="Q349"/>
    </row>
    <row r="350" spans="16:17" x14ac:dyDescent="0.25">
      <c r="P350"/>
      <c r="Q350"/>
    </row>
    <row r="351" spans="16:17" x14ac:dyDescent="0.25">
      <c r="P351"/>
      <c r="Q351"/>
    </row>
    <row r="352" spans="16:17" x14ac:dyDescent="0.25">
      <c r="P352"/>
      <c r="Q352"/>
    </row>
    <row r="353" spans="16:17" x14ac:dyDescent="0.25">
      <c r="P353"/>
      <c r="Q353"/>
    </row>
    <row r="354" spans="16:17" x14ac:dyDescent="0.25">
      <c r="P354"/>
      <c r="Q354"/>
    </row>
    <row r="355" spans="16:17" x14ac:dyDescent="0.25">
      <c r="P355"/>
      <c r="Q355"/>
    </row>
    <row r="356" spans="16:17" x14ac:dyDescent="0.25">
      <c r="P356"/>
      <c r="Q356"/>
    </row>
    <row r="357" spans="16:17" x14ac:dyDescent="0.25">
      <c r="P357"/>
      <c r="Q357"/>
    </row>
    <row r="358" spans="16:17" x14ac:dyDescent="0.25">
      <c r="P358"/>
      <c r="Q358"/>
    </row>
    <row r="359" spans="16:17" x14ac:dyDescent="0.25">
      <c r="P359"/>
      <c r="Q359"/>
    </row>
    <row r="360" spans="16:17" x14ac:dyDescent="0.25">
      <c r="P360"/>
      <c r="Q360"/>
    </row>
    <row r="361" spans="16:17" x14ac:dyDescent="0.25">
      <c r="P361"/>
      <c r="Q361"/>
    </row>
    <row r="362" spans="16:17" x14ac:dyDescent="0.25">
      <c r="P362"/>
      <c r="Q362"/>
    </row>
    <row r="363" spans="16:17" x14ac:dyDescent="0.25">
      <c r="P363"/>
      <c r="Q363"/>
    </row>
    <row r="364" spans="16:17" x14ac:dyDescent="0.25">
      <c r="P364"/>
      <c r="Q364"/>
    </row>
    <row r="365" spans="16:17" x14ac:dyDescent="0.25">
      <c r="P365"/>
      <c r="Q365"/>
    </row>
    <row r="366" spans="16:17" x14ac:dyDescent="0.25">
      <c r="P366"/>
      <c r="Q366"/>
    </row>
    <row r="367" spans="16:17" x14ac:dyDescent="0.25">
      <c r="P367"/>
      <c r="Q367"/>
    </row>
    <row r="368" spans="16:17" x14ac:dyDescent="0.25">
      <c r="P368"/>
      <c r="Q368"/>
    </row>
    <row r="369" spans="16:17" x14ac:dyDescent="0.25">
      <c r="P369"/>
      <c r="Q369"/>
    </row>
    <row r="370" spans="16:17" x14ac:dyDescent="0.25">
      <c r="P370"/>
      <c r="Q370"/>
    </row>
    <row r="371" spans="16:17" x14ac:dyDescent="0.25">
      <c r="P371"/>
      <c r="Q371"/>
    </row>
    <row r="372" spans="16:17" x14ac:dyDescent="0.25">
      <c r="P372"/>
      <c r="Q372"/>
    </row>
    <row r="373" spans="16:17" x14ac:dyDescent="0.25">
      <c r="P373"/>
      <c r="Q373"/>
    </row>
    <row r="374" spans="16:17" x14ac:dyDescent="0.25">
      <c r="P374"/>
      <c r="Q374"/>
    </row>
    <row r="375" spans="16:17" x14ac:dyDescent="0.25">
      <c r="P375"/>
      <c r="Q375"/>
    </row>
    <row r="376" spans="16:17" x14ac:dyDescent="0.25">
      <c r="P376"/>
      <c r="Q376"/>
    </row>
    <row r="377" spans="16:17" x14ac:dyDescent="0.25">
      <c r="P377"/>
      <c r="Q377"/>
    </row>
    <row r="378" spans="16:17" x14ac:dyDescent="0.25">
      <c r="P378"/>
      <c r="Q378"/>
    </row>
    <row r="379" spans="16:17" x14ac:dyDescent="0.25">
      <c r="P379"/>
      <c r="Q379"/>
    </row>
    <row r="380" spans="16:17" x14ac:dyDescent="0.25">
      <c r="P380"/>
      <c r="Q380"/>
    </row>
    <row r="381" spans="16:17" x14ac:dyDescent="0.25">
      <c r="P381"/>
      <c r="Q381"/>
    </row>
    <row r="382" spans="16:17" x14ac:dyDescent="0.25">
      <c r="P382"/>
      <c r="Q382"/>
    </row>
    <row r="383" spans="16:17" x14ac:dyDescent="0.25">
      <c r="P383"/>
      <c r="Q383"/>
    </row>
    <row r="384" spans="16:17" x14ac:dyDescent="0.25">
      <c r="P384"/>
      <c r="Q384"/>
    </row>
    <row r="385" spans="16:17" x14ac:dyDescent="0.25">
      <c r="P385"/>
      <c r="Q385"/>
    </row>
    <row r="386" spans="16:17" x14ac:dyDescent="0.25">
      <c r="P386"/>
      <c r="Q386"/>
    </row>
    <row r="387" spans="16:17" x14ac:dyDescent="0.25">
      <c r="P387"/>
      <c r="Q387"/>
    </row>
    <row r="388" spans="16:17" x14ac:dyDescent="0.25">
      <c r="P388"/>
      <c r="Q388"/>
    </row>
    <row r="389" spans="16:17" x14ac:dyDescent="0.25">
      <c r="P389"/>
      <c r="Q389"/>
    </row>
    <row r="390" spans="16:17" x14ac:dyDescent="0.25">
      <c r="P390"/>
      <c r="Q390"/>
    </row>
    <row r="391" spans="16:17" x14ac:dyDescent="0.25">
      <c r="P391"/>
      <c r="Q391"/>
    </row>
    <row r="392" spans="16:17" x14ac:dyDescent="0.25">
      <c r="P392"/>
      <c r="Q392"/>
    </row>
    <row r="393" spans="16:17" x14ac:dyDescent="0.25">
      <c r="P393"/>
      <c r="Q393"/>
    </row>
    <row r="394" spans="16:17" x14ac:dyDescent="0.25">
      <c r="P394"/>
      <c r="Q394"/>
    </row>
    <row r="395" spans="16:17" x14ac:dyDescent="0.25">
      <c r="P395"/>
      <c r="Q395"/>
    </row>
    <row r="396" spans="16:17" x14ac:dyDescent="0.25">
      <c r="P396"/>
      <c r="Q396"/>
    </row>
    <row r="397" spans="16:17" x14ac:dyDescent="0.25">
      <c r="P397"/>
      <c r="Q397"/>
    </row>
    <row r="398" spans="16:17" x14ac:dyDescent="0.25">
      <c r="P398"/>
      <c r="Q398"/>
    </row>
    <row r="399" spans="16:17" x14ac:dyDescent="0.25">
      <c r="P399"/>
      <c r="Q399"/>
    </row>
    <row r="400" spans="16:17" x14ac:dyDescent="0.25">
      <c r="P400"/>
      <c r="Q400"/>
    </row>
    <row r="401" spans="16:17" x14ac:dyDescent="0.25">
      <c r="P401"/>
      <c r="Q401"/>
    </row>
    <row r="402" spans="16:17" x14ac:dyDescent="0.25">
      <c r="P402"/>
      <c r="Q402"/>
    </row>
    <row r="403" spans="16:17" x14ac:dyDescent="0.25">
      <c r="P403"/>
      <c r="Q403"/>
    </row>
    <row r="404" spans="16:17" x14ac:dyDescent="0.25">
      <c r="P404"/>
      <c r="Q404"/>
    </row>
    <row r="405" spans="16:17" x14ac:dyDescent="0.25">
      <c r="P405"/>
      <c r="Q405"/>
    </row>
    <row r="406" spans="16:17" x14ac:dyDescent="0.25">
      <c r="P406"/>
      <c r="Q406"/>
    </row>
    <row r="407" spans="16:17" x14ac:dyDescent="0.25">
      <c r="P407"/>
      <c r="Q407"/>
    </row>
    <row r="408" spans="16:17" x14ac:dyDescent="0.25">
      <c r="P408"/>
      <c r="Q408"/>
    </row>
    <row r="409" spans="16:17" x14ac:dyDescent="0.25">
      <c r="P409"/>
      <c r="Q409"/>
    </row>
    <row r="410" spans="16:17" x14ac:dyDescent="0.25">
      <c r="P410"/>
      <c r="Q410"/>
    </row>
    <row r="411" spans="16:17" x14ac:dyDescent="0.25">
      <c r="P411"/>
      <c r="Q411"/>
    </row>
    <row r="412" spans="16:17" x14ac:dyDescent="0.25">
      <c r="P412"/>
      <c r="Q412"/>
    </row>
    <row r="413" spans="16:17" x14ac:dyDescent="0.25">
      <c r="P413"/>
      <c r="Q413"/>
    </row>
    <row r="414" spans="16:17" x14ac:dyDescent="0.25">
      <c r="P414"/>
      <c r="Q414"/>
    </row>
    <row r="415" spans="16:17" x14ac:dyDescent="0.25">
      <c r="P415"/>
      <c r="Q415"/>
    </row>
    <row r="416" spans="16:17" x14ac:dyDescent="0.25">
      <c r="P416"/>
      <c r="Q416"/>
    </row>
    <row r="417" spans="16:17" x14ac:dyDescent="0.25">
      <c r="P417"/>
      <c r="Q417"/>
    </row>
    <row r="418" spans="16:17" x14ac:dyDescent="0.25">
      <c r="P418"/>
      <c r="Q418"/>
    </row>
    <row r="419" spans="16:17" x14ac:dyDescent="0.25">
      <c r="P419"/>
      <c r="Q419"/>
    </row>
    <row r="420" spans="16:17" x14ac:dyDescent="0.25">
      <c r="P420"/>
      <c r="Q420"/>
    </row>
    <row r="421" spans="16:17" x14ac:dyDescent="0.25">
      <c r="P421"/>
      <c r="Q421"/>
    </row>
    <row r="422" spans="16:17" x14ac:dyDescent="0.25">
      <c r="P422"/>
      <c r="Q422"/>
    </row>
    <row r="423" spans="16:17" x14ac:dyDescent="0.25">
      <c r="P423"/>
      <c r="Q423"/>
    </row>
    <row r="424" spans="16:17" x14ac:dyDescent="0.25">
      <c r="P424"/>
      <c r="Q424"/>
    </row>
    <row r="425" spans="16:17" x14ac:dyDescent="0.25">
      <c r="P425"/>
      <c r="Q425"/>
    </row>
    <row r="426" spans="16:17" x14ac:dyDescent="0.25">
      <c r="P426"/>
      <c r="Q426"/>
    </row>
    <row r="427" spans="16:17" x14ac:dyDescent="0.25">
      <c r="P427"/>
      <c r="Q427"/>
    </row>
    <row r="428" spans="16:17" x14ac:dyDescent="0.25">
      <c r="P428"/>
      <c r="Q428"/>
    </row>
    <row r="429" spans="16:17" x14ac:dyDescent="0.25">
      <c r="P429"/>
      <c r="Q429"/>
    </row>
    <row r="430" spans="16:17" x14ac:dyDescent="0.25">
      <c r="P430"/>
      <c r="Q430"/>
    </row>
    <row r="431" spans="16:17" x14ac:dyDescent="0.25">
      <c r="P431"/>
      <c r="Q431"/>
    </row>
    <row r="432" spans="16:17" x14ac:dyDescent="0.25">
      <c r="P432"/>
      <c r="Q432"/>
    </row>
    <row r="433" spans="16:17" x14ac:dyDescent="0.25">
      <c r="P433"/>
      <c r="Q433"/>
    </row>
    <row r="434" spans="16:17" x14ac:dyDescent="0.25">
      <c r="P434"/>
      <c r="Q434"/>
    </row>
    <row r="435" spans="16:17" x14ac:dyDescent="0.25">
      <c r="P435"/>
      <c r="Q435"/>
    </row>
    <row r="436" spans="16:17" x14ac:dyDescent="0.25">
      <c r="P436"/>
      <c r="Q436"/>
    </row>
    <row r="437" spans="16:17" x14ac:dyDescent="0.25">
      <c r="P437"/>
      <c r="Q437"/>
    </row>
    <row r="438" spans="16:17" x14ac:dyDescent="0.25">
      <c r="P438"/>
      <c r="Q438"/>
    </row>
    <row r="439" spans="16:17" x14ac:dyDescent="0.25">
      <c r="P439"/>
      <c r="Q439"/>
    </row>
    <row r="440" spans="16:17" x14ac:dyDescent="0.25">
      <c r="P440"/>
      <c r="Q440"/>
    </row>
    <row r="441" spans="16:17" x14ac:dyDescent="0.25">
      <c r="P441"/>
      <c r="Q441"/>
    </row>
    <row r="442" spans="16:17" x14ac:dyDescent="0.25">
      <c r="P442"/>
      <c r="Q442"/>
    </row>
    <row r="443" spans="16:17" x14ac:dyDescent="0.25">
      <c r="P443"/>
      <c r="Q443"/>
    </row>
    <row r="444" spans="16:17" x14ac:dyDescent="0.25">
      <c r="P444"/>
      <c r="Q444"/>
    </row>
    <row r="445" spans="16:17" x14ac:dyDescent="0.25">
      <c r="P445"/>
      <c r="Q445"/>
    </row>
    <row r="446" spans="16:17" x14ac:dyDescent="0.25">
      <c r="P446"/>
      <c r="Q446"/>
    </row>
    <row r="447" spans="16:17" x14ac:dyDescent="0.25">
      <c r="P447"/>
      <c r="Q447"/>
    </row>
    <row r="448" spans="16:17" x14ac:dyDescent="0.25">
      <c r="P448"/>
      <c r="Q448"/>
    </row>
    <row r="449" spans="16:17" x14ac:dyDescent="0.25">
      <c r="P449"/>
      <c r="Q449"/>
    </row>
    <row r="450" spans="16:17" x14ac:dyDescent="0.25">
      <c r="P450"/>
      <c r="Q450"/>
    </row>
    <row r="451" spans="16:17" x14ac:dyDescent="0.25">
      <c r="P451"/>
      <c r="Q451"/>
    </row>
    <row r="452" spans="16:17" x14ac:dyDescent="0.25">
      <c r="P452"/>
      <c r="Q452"/>
    </row>
    <row r="453" spans="16:17" x14ac:dyDescent="0.25">
      <c r="P453"/>
      <c r="Q453"/>
    </row>
    <row r="454" spans="16:17" x14ac:dyDescent="0.25">
      <c r="P454"/>
      <c r="Q454"/>
    </row>
    <row r="455" spans="16:17" x14ac:dyDescent="0.25">
      <c r="P455"/>
      <c r="Q455"/>
    </row>
    <row r="456" spans="16:17" x14ac:dyDescent="0.25">
      <c r="P456"/>
      <c r="Q456"/>
    </row>
    <row r="457" spans="16:17" x14ac:dyDescent="0.25">
      <c r="P457"/>
      <c r="Q457"/>
    </row>
    <row r="458" spans="16:17" x14ac:dyDescent="0.25">
      <c r="P458"/>
      <c r="Q458"/>
    </row>
    <row r="459" spans="16:17" x14ac:dyDescent="0.25">
      <c r="P459"/>
      <c r="Q459"/>
    </row>
    <row r="460" spans="16:17" x14ac:dyDescent="0.25">
      <c r="P460"/>
      <c r="Q460"/>
    </row>
    <row r="461" spans="16:17" x14ac:dyDescent="0.25">
      <c r="P461"/>
      <c r="Q461"/>
    </row>
    <row r="462" spans="16:17" x14ac:dyDescent="0.25">
      <c r="P462"/>
      <c r="Q462"/>
    </row>
    <row r="463" spans="16:17" x14ac:dyDescent="0.25">
      <c r="P463"/>
      <c r="Q463"/>
    </row>
    <row r="464" spans="16:17" x14ac:dyDescent="0.25">
      <c r="P464"/>
      <c r="Q464"/>
    </row>
    <row r="465" spans="16:17" x14ac:dyDescent="0.25">
      <c r="P465"/>
      <c r="Q465"/>
    </row>
    <row r="466" spans="16:17" x14ac:dyDescent="0.25">
      <c r="P466"/>
      <c r="Q466"/>
    </row>
    <row r="467" spans="16:17" x14ac:dyDescent="0.25">
      <c r="P467"/>
      <c r="Q467"/>
    </row>
    <row r="468" spans="16:17" x14ac:dyDescent="0.25">
      <c r="P468"/>
      <c r="Q468"/>
    </row>
    <row r="469" spans="16:17" x14ac:dyDescent="0.25">
      <c r="P469"/>
      <c r="Q469"/>
    </row>
    <row r="470" spans="16:17" x14ac:dyDescent="0.25">
      <c r="P470"/>
      <c r="Q470"/>
    </row>
    <row r="471" spans="16:17" x14ac:dyDescent="0.25">
      <c r="P471"/>
      <c r="Q471"/>
    </row>
    <row r="472" spans="16:17" x14ac:dyDescent="0.25">
      <c r="P472"/>
      <c r="Q472"/>
    </row>
    <row r="473" spans="16:17" x14ac:dyDescent="0.25">
      <c r="P473"/>
      <c r="Q473"/>
    </row>
    <row r="474" spans="16:17" x14ac:dyDescent="0.25">
      <c r="P474"/>
      <c r="Q474"/>
    </row>
    <row r="475" spans="16:17" x14ac:dyDescent="0.25">
      <c r="P475"/>
      <c r="Q475"/>
    </row>
    <row r="476" spans="16:17" x14ac:dyDescent="0.25">
      <c r="P476"/>
      <c r="Q476"/>
    </row>
    <row r="477" spans="16:17" x14ac:dyDescent="0.25">
      <c r="P477"/>
      <c r="Q477"/>
    </row>
    <row r="478" spans="16:17" x14ac:dyDescent="0.25">
      <c r="P478"/>
      <c r="Q478"/>
    </row>
    <row r="479" spans="16:17" x14ac:dyDescent="0.25">
      <c r="P479"/>
      <c r="Q479"/>
    </row>
    <row r="480" spans="16:17" x14ac:dyDescent="0.25">
      <c r="P480"/>
      <c r="Q480"/>
    </row>
    <row r="481" spans="16:17" x14ac:dyDescent="0.25">
      <c r="P481"/>
      <c r="Q481"/>
    </row>
    <row r="482" spans="16:17" x14ac:dyDescent="0.25">
      <c r="P482"/>
      <c r="Q482"/>
    </row>
    <row r="483" spans="16:17" x14ac:dyDescent="0.25">
      <c r="P483"/>
      <c r="Q483"/>
    </row>
    <row r="484" spans="16:17" x14ac:dyDescent="0.25">
      <c r="P484"/>
      <c r="Q484"/>
    </row>
    <row r="485" spans="16:17" x14ac:dyDescent="0.25">
      <c r="P485"/>
      <c r="Q485"/>
    </row>
    <row r="486" spans="16:17" x14ac:dyDescent="0.25">
      <c r="P486"/>
      <c r="Q486"/>
    </row>
    <row r="487" spans="16:17" x14ac:dyDescent="0.25">
      <c r="P487"/>
      <c r="Q487"/>
    </row>
    <row r="488" spans="16:17" x14ac:dyDescent="0.25">
      <c r="P488"/>
      <c r="Q488"/>
    </row>
    <row r="489" spans="16:17" x14ac:dyDescent="0.25">
      <c r="P489"/>
      <c r="Q489"/>
    </row>
    <row r="490" spans="16:17" x14ac:dyDescent="0.25">
      <c r="P490"/>
      <c r="Q490"/>
    </row>
    <row r="491" spans="16:17" x14ac:dyDescent="0.25">
      <c r="P491"/>
      <c r="Q491"/>
    </row>
    <row r="492" spans="16:17" x14ac:dyDescent="0.25">
      <c r="P492"/>
      <c r="Q492"/>
    </row>
    <row r="493" spans="16:17" x14ac:dyDescent="0.25">
      <c r="P493"/>
      <c r="Q493"/>
    </row>
    <row r="494" spans="16:17" x14ac:dyDescent="0.25">
      <c r="P494"/>
      <c r="Q494"/>
    </row>
    <row r="495" spans="16:17" x14ac:dyDescent="0.25">
      <c r="P495"/>
      <c r="Q495"/>
    </row>
    <row r="496" spans="16:17" x14ac:dyDescent="0.25">
      <c r="P496"/>
      <c r="Q496"/>
    </row>
    <row r="497" spans="16:17" x14ac:dyDescent="0.25">
      <c r="P497"/>
      <c r="Q497"/>
    </row>
    <row r="498" spans="16:17" x14ac:dyDescent="0.25">
      <c r="P498"/>
      <c r="Q498"/>
    </row>
    <row r="499" spans="16:17" x14ac:dyDescent="0.25">
      <c r="P499"/>
      <c r="Q499"/>
    </row>
    <row r="500" spans="16:17" x14ac:dyDescent="0.25">
      <c r="P500"/>
      <c r="Q500"/>
    </row>
    <row r="501" spans="16:17" x14ac:dyDescent="0.25">
      <c r="P501"/>
      <c r="Q501"/>
    </row>
    <row r="502" spans="16:17" x14ac:dyDescent="0.25">
      <c r="P502"/>
      <c r="Q502"/>
    </row>
    <row r="503" spans="16:17" x14ac:dyDescent="0.25">
      <c r="P503"/>
      <c r="Q503"/>
    </row>
    <row r="504" spans="16:17" x14ac:dyDescent="0.25">
      <c r="P504"/>
      <c r="Q504"/>
    </row>
    <row r="505" spans="16:17" x14ac:dyDescent="0.25">
      <c r="P505"/>
      <c r="Q505"/>
    </row>
    <row r="506" spans="16:17" x14ac:dyDescent="0.25">
      <c r="P506"/>
      <c r="Q506"/>
    </row>
    <row r="507" spans="16:17" x14ac:dyDescent="0.25">
      <c r="P507"/>
      <c r="Q507"/>
    </row>
    <row r="508" spans="16:17" x14ac:dyDescent="0.25">
      <c r="P508"/>
      <c r="Q508"/>
    </row>
    <row r="509" spans="16:17" x14ac:dyDescent="0.25">
      <c r="P509"/>
      <c r="Q509"/>
    </row>
    <row r="510" spans="16:17" x14ac:dyDescent="0.25">
      <c r="P510"/>
      <c r="Q510"/>
    </row>
    <row r="511" spans="16:17" x14ac:dyDescent="0.25">
      <c r="P511"/>
      <c r="Q511"/>
    </row>
    <row r="512" spans="16:17" x14ac:dyDescent="0.25">
      <c r="P512"/>
      <c r="Q512"/>
    </row>
    <row r="513" spans="16:17" x14ac:dyDescent="0.25">
      <c r="P513"/>
      <c r="Q513"/>
    </row>
    <row r="514" spans="16:17" x14ac:dyDescent="0.25">
      <c r="P514"/>
      <c r="Q514"/>
    </row>
    <row r="515" spans="16:17" x14ac:dyDescent="0.25">
      <c r="P515"/>
      <c r="Q515"/>
    </row>
    <row r="516" spans="16:17" x14ac:dyDescent="0.25">
      <c r="P516"/>
      <c r="Q516"/>
    </row>
    <row r="517" spans="16:17" x14ac:dyDescent="0.25">
      <c r="P517"/>
      <c r="Q517"/>
    </row>
    <row r="518" spans="16:17" x14ac:dyDescent="0.25">
      <c r="P518"/>
      <c r="Q518"/>
    </row>
    <row r="519" spans="16:17" x14ac:dyDescent="0.25">
      <c r="P519"/>
      <c r="Q519"/>
    </row>
    <row r="520" spans="16:17" x14ac:dyDescent="0.25">
      <c r="P520"/>
      <c r="Q520"/>
    </row>
    <row r="521" spans="16:17" x14ac:dyDescent="0.25">
      <c r="P521"/>
      <c r="Q521"/>
    </row>
    <row r="522" spans="16:17" x14ac:dyDescent="0.25">
      <c r="P522"/>
      <c r="Q522"/>
    </row>
    <row r="523" spans="16:17" x14ac:dyDescent="0.25">
      <c r="P523"/>
      <c r="Q523"/>
    </row>
    <row r="524" spans="16:17" x14ac:dyDescent="0.25">
      <c r="P524"/>
      <c r="Q524"/>
    </row>
    <row r="525" spans="16:17" x14ac:dyDescent="0.25">
      <c r="P525"/>
      <c r="Q525"/>
    </row>
    <row r="526" spans="16:17" x14ac:dyDescent="0.25">
      <c r="P526"/>
      <c r="Q526"/>
    </row>
    <row r="527" spans="16:17" x14ac:dyDescent="0.25">
      <c r="P527"/>
      <c r="Q527"/>
    </row>
    <row r="528" spans="16:17" x14ac:dyDescent="0.25">
      <c r="P528"/>
      <c r="Q528"/>
    </row>
    <row r="529" spans="16:17" x14ac:dyDescent="0.25">
      <c r="P529"/>
      <c r="Q529"/>
    </row>
    <row r="530" spans="16:17" x14ac:dyDescent="0.25">
      <c r="P530"/>
      <c r="Q530"/>
    </row>
    <row r="531" spans="16:17" x14ac:dyDescent="0.25">
      <c r="P531"/>
      <c r="Q531"/>
    </row>
    <row r="532" spans="16:17" x14ac:dyDescent="0.25">
      <c r="P532"/>
      <c r="Q532"/>
    </row>
    <row r="533" spans="16:17" x14ac:dyDescent="0.25">
      <c r="P533"/>
      <c r="Q533"/>
    </row>
    <row r="534" spans="16:17" x14ac:dyDescent="0.25">
      <c r="P534"/>
      <c r="Q534"/>
    </row>
    <row r="535" spans="16:17" x14ac:dyDescent="0.25">
      <c r="P535"/>
      <c r="Q535"/>
    </row>
    <row r="536" spans="16:17" x14ac:dyDescent="0.25">
      <c r="P536"/>
      <c r="Q536"/>
    </row>
    <row r="537" spans="16:17" x14ac:dyDescent="0.25">
      <c r="P537"/>
      <c r="Q537"/>
    </row>
    <row r="538" spans="16:17" x14ac:dyDescent="0.25">
      <c r="P538"/>
      <c r="Q538"/>
    </row>
    <row r="539" spans="16:17" x14ac:dyDescent="0.25">
      <c r="P539"/>
      <c r="Q539"/>
    </row>
    <row r="540" spans="16:17" x14ac:dyDescent="0.25">
      <c r="P540"/>
      <c r="Q540"/>
    </row>
    <row r="541" spans="16:17" x14ac:dyDescent="0.25">
      <c r="P541"/>
      <c r="Q541"/>
    </row>
    <row r="542" spans="16:17" x14ac:dyDescent="0.25">
      <c r="P542"/>
      <c r="Q542"/>
    </row>
    <row r="543" spans="16:17" x14ac:dyDescent="0.25">
      <c r="P543"/>
      <c r="Q543"/>
    </row>
    <row r="544" spans="16:17" x14ac:dyDescent="0.25">
      <c r="P544"/>
      <c r="Q544"/>
    </row>
    <row r="545" spans="16:17" x14ac:dyDescent="0.25">
      <c r="P545"/>
      <c r="Q545"/>
    </row>
    <row r="546" spans="16:17" x14ac:dyDescent="0.25">
      <c r="P546"/>
      <c r="Q546"/>
    </row>
    <row r="547" spans="16:17" x14ac:dyDescent="0.25">
      <c r="P547"/>
      <c r="Q547"/>
    </row>
    <row r="548" spans="16:17" x14ac:dyDescent="0.25">
      <c r="P548"/>
      <c r="Q548"/>
    </row>
    <row r="549" spans="16:17" x14ac:dyDescent="0.25">
      <c r="P549"/>
      <c r="Q549"/>
    </row>
    <row r="550" spans="16:17" x14ac:dyDescent="0.25">
      <c r="P550"/>
      <c r="Q550"/>
    </row>
    <row r="551" spans="16:17" x14ac:dyDescent="0.25">
      <c r="P551"/>
      <c r="Q551"/>
    </row>
    <row r="552" spans="16:17" x14ac:dyDescent="0.25">
      <c r="P552"/>
      <c r="Q552"/>
    </row>
    <row r="553" spans="16:17" x14ac:dyDescent="0.25">
      <c r="P553"/>
      <c r="Q553"/>
    </row>
    <row r="554" spans="16:17" x14ac:dyDescent="0.25">
      <c r="P554"/>
      <c r="Q554"/>
    </row>
    <row r="555" spans="16:17" x14ac:dyDescent="0.25">
      <c r="P555"/>
      <c r="Q555"/>
    </row>
    <row r="556" spans="16:17" x14ac:dyDescent="0.25">
      <c r="P556"/>
      <c r="Q556"/>
    </row>
    <row r="557" spans="16:17" x14ac:dyDescent="0.25">
      <c r="P557"/>
      <c r="Q557"/>
    </row>
    <row r="558" spans="16:17" x14ac:dyDescent="0.25">
      <c r="P558"/>
      <c r="Q558"/>
    </row>
    <row r="559" spans="16:17" x14ac:dyDescent="0.25">
      <c r="P559"/>
      <c r="Q559"/>
    </row>
    <row r="560" spans="16:17" x14ac:dyDescent="0.25">
      <c r="P560"/>
      <c r="Q560"/>
    </row>
    <row r="561" spans="16:17" x14ac:dyDescent="0.25">
      <c r="P561"/>
      <c r="Q561"/>
    </row>
    <row r="562" spans="16:17" x14ac:dyDescent="0.25">
      <c r="P562"/>
      <c r="Q562"/>
    </row>
    <row r="563" spans="16:17" x14ac:dyDescent="0.25">
      <c r="P563"/>
      <c r="Q563"/>
    </row>
    <row r="564" spans="16:17" x14ac:dyDescent="0.25">
      <c r="P564"/>
      <c r="Q564"/>
    </row>
    <row r="565" spans="16:17" x14ac:dyDescent="0.25">
      <c r="P565"/>
      <c r="Q565"/>
    </row>
    <row r="566" spans="16:17" x14ac:dyDescent="0.25">
      <c r="P566"/>
      <c r="Q566"/>
    </row>
    <row r="567" spans="16:17" x14ac:dyDescent="0.25">
      <c r="P567"/>
      <c r="Q567"/>
    </row>
    <row r="568" spans="16:17" x14ac:dyDescent="0.25">
      <c r="P568"/>
      <c r="Q568"/>
    </row>
    <row r="569" spans="16:17" x14ac:dyDescent="0.25">
      <c r="P569"/>
      <c r="Q569"/>
    </row>
    <row r="570" spans="16:17" x14ac:dyDescent="0.25">
      <c r="P570"/>
      <c r="Q570"/>
    </row>
    <row r="571" spans="16:17" x14ac:dyDescent="0.25">
      <c r="P571"/>
      <c r="Q571"/>
    </row>
    <row r="572" spans="16:17" x14ac:dyDescent="0.25">
      <c r="P572"/>
      <c r="Q572"/>
    </row>
    <row r="573" spans="16:17" x14ac:dyDescent="0.25">
      <c r="P573"/>
      <c r="Q573"/>
    </row>
    <row r="574" spans="16:17" x14ac:dyDescent="0.25">
      <c r="P574"/>
      <c r="Q574"/>
    </row>
    <row r="575" spans="16:17" x14ac:dyDescent="0.25">
      <c r="P575"/>
      <c r="Q575"/>
    </row>
    <row r="576" spans="16:17" x14ac:dyDescent="0.25">
      <c r="P576"/>
      <c r="Q576"/>
    </row>
    <row r="577" spans="16:17" x14ac:dyDescent="0.25">
      <c r="P577"/>
      <c r="Q577"/>
    </row>
    <row r="578" spans="16:17" x14ac:dyDescent="0.25">
      <c r="P578"/>
      <c r="Q578"/>
    </row>
    <row r="579" spans="16:17" x14ac:dyDescent="0.25">
      <c r="P579"/>
      <c r="Q579"/>
    </row>
    <row r="580" spans="16:17" x14ac:dyDescent="0.25">
      <c r="P580"/>
      <c r="Q580"/>
    </row>
    <row r="581" spans="16:17" x14ac:dyDescent="0.25">
      <c r="P581"/>
      <c r="Q581"/>
    </row>
    <row r="582" spans="16:17" x14ac:dyDescent="0.25">
      <c r="P582"/>
      <c r="Q582"/>
    </row>
    <row r="583" spans="16:17" x14ac:dyDescent="0.25">
      <c r="P583"/>
      <c r="Q583"/>
    </row>
    <row r="584" spans="16:17" x14ac:dyDescent="0.25">
      <c r="P584"/>
      <c r="Q584"/>
    </row>
    <row r="585" spans="16:17" x14ac:dyDescent="0.25">
      <c r="P585"/>
      <c r="Q585"/>
    </row>
    <row r="586" spans="16:17" x14ac:dyDescent="0.25">
      <c r="P586"/>
      <c r="Q586"/>
    </row>
    <row r="587" spans="16:17" x14ac:dyDescent="0.25">
      <c r="P587"/>
      <c r="Q587"/>
    </row>
    <row r="588" spans="16:17" x14ac:dyDescent="0.25">
      <c r="P588"/>
      <c r="Q588"/>
    </row>
    <row r="589" spans="16:17" x14ac:dyDescent="0.25">
      <c r="P589"/>
      <c r="Q589"/>
    </row>
    <row r="590" spans="16:17" x14ac:dyDescent="0.25">
      <c r="P590"/>
      <c r="Q590"/>
    </row>
    <row r="591" spans="16:17" x14ac:dyDescent="0.25">
      <c r="P591"/>
      <c r="Q591"/>
    </row>
    <row r="592" spans="16:17" x14ac:dyDescent="0.25">
      <c r="P592"/>
      <c r="Q592"/>
    </row>
    <row r="593" spans="16:17" x14ac:dyDescent="0.25">
      <c r="P593"/>
      <c r="Q593"/>
    </row>
    <row r="594" spans="16:17" x14ac:dyDescent="0.25">
      <c r="P594"/>
      <c r="Q594"/>
    </row>
    <row r="595" spans="16:17" x14ac:dyDescent="0.25">
      <c r="P595"/>
      <c r="Q595"/>
    </row>
    <row r="596" spans="16:17" x14ac:dyDescent="0.25">
      <c r="P596"/>
      <c r="Q596"/>
    </row>
    <row r="597" spans="16:17" x14ac:dyDescent="0.25">
      <c r="P597"/>
      <c r="Q597"/>
    </row>
    <row r="598" spans="16:17" x14ac:dyDescent="0.25">
      <c r="P598"/>
      <c r="Q598"/>
    </row>
    <row r="599" spans="16:17" x14ac:dyDescent="0.25">
      <c r="P599"/>
      <c r="Q599"/>
    </row>
    <row r="600" spans="16:17" x14ac:dyDescent="0.25">
      <c r="P600"/>
      <c r="Q600"/>
    </row>
    <row r="601" spans="16:17" x14ac:dyDescent="0.25">
      <c r="P601"/>
      <c r="Q601"/>
    </row>
    <row r="602" spans="16:17" x14ac:dyDescent="0.25">
      <c r="P602"/>
      <c r="Q602"/>
    </row>
    <row r="603" spans="16:17" x14ac:dyDescent="0.25">
      <c r="P603"/>
      <c r="Q603"/>
    </row>
    <row r="604" spans="16:17" x14ac:dyDescent="0.25">
      <c r="P604"/>
      <c r="Q604"/>
    </row>
    <row r="605" spans="16:17" x14ac:dyDescent="0.25">
      <c r="P605"/>
      <c r="Q605"/>
    </row>
    <row r="606" spans="16:17" x14ac:dyDescent="0.25">
      <c r="P606"/>
      <c r="Q606"/>
    </row>
    <row r="607" spans="16:17" x14ac:dyDescent="0.25">
      <c r="P607"/>
      <c r="Q607"/>
    </row>
    <row r="608" spans="16:17" x14ac:dyDescent="0.25">
      <c r="P608"/>
      <c r="Q608"/>
    </row>
    <row r="609" spans="16:17" x14ac:dyDescent="0.25">
      <c r="P609"/>
      <c r="Q609"/>
    </row>
    <row r="610" spans="16:17" x14ac:dyDescent="0.25">
      <c r="P610"/>
      <c r="Q610"/>
    </row>
    <row r="611" spans="16:17" x14ac:dyDescent="0.25">
      <c r="P611"/>
      <c r="Q611"/>
    </row>
    <row r="612" spans="16:17" x14ac:dyDescent="0.25">
      <c r="P612"/>
      <c r="Q612"/>
    </row>
    <row r="613" spans="16:17" x14ac:dyDescent="0.25">
      <c r="P613"/>
      <c r="Q613"/>
    </row>
    <row r="614" spans="16:17" x14ac:dyDescent="0.25">
      <c r="P614"/>
      <c r="Q614"/>
    </row>
    <row r="615" spans="16:17" x14ac:dyDescent="0.25">
      <c r="P615"/>
      <c r="Q615"/>
    </row>
    <row r="616" spans="16:17" x14ac:dyDescent="0.25">
      <c r="P616"/>
      <c r="Q616"/>
    </row>
    <row r="617" spans="16:17" x14ac:dyDescent="0.25">
      <c r="P617"/>
      <c r="Q617"/>
    </row>
    <row r="618" spans="16:17" x14ac:dyDescent="0.25">
      <c r="P618"/>
      <c r="Q618"/>
    </row>
    <row r="619" spans="16:17" x14ac:dyDescent="0.25">
      <c r="P619"/>
      <c r="Q619"/>
    </row>
    <row r="620" spans="16:17" x14ac:dyDescent="0.25">
      <c r="P620"/>
      <c r="Q620"/>
    </row>
    <row r="621" spans="16:17" x14ac:dyDescent="0.25">
      <c r="P621"/>
      <c r="Q621"/>
    </row>
    <row r="622" spans="16:17" x14ac:dyDescent="0.25">
      <c r="P622"/>
      <c r="Q622"/>
    </row>
    <row r="623" spans="16:17" x14ac:dyDescent="0.25">
      <c r="P623"/>
      <c r="Q623"/>
    </row>
    <row r="624" spans="16:17" x14ac:dyDescent="0.25">
      <c r="P624"/>
      <c r="Q624"/>
    </row>
    <row r="625" spans="16:17" x14ac:dyDescent="0.25">
      <c r="P625"/>
      <c r="Q625"/>
    </row>
    <row r="626" spans="16:17" x14ac:dyDescent="0.25">
      <c r="P626"/>
      <c r="Q626"/>
    </row>
    <row r="627" spans="16:17" x14ac:dyDescent="0.25">
      <c r="P627"/>
      <c r="Q627"/>
    </row>
    <row r="628" spans="16:17" x14ac:dyDescent="0.25">
      <c r="P628"/>
      <c r="Q628"/>
    </row>
    <row r="629" spans="16:17" x14ac:dyDescent="0.25">
      <c r="P629"/>
      <c r="Q629"/>
    </row>
    <row r="630" spans="16:17" x14ac:dyDescent="0.25">
      <c r="P630"/>
      <c r="Q630"/>
    </row>
    <row r="631" spans="16:17" x14ac:dyDescent="0.25">
      <c r="P631"/>
      <c r="Q631"/>
    </row>
    <row r="632" spans="16:17" x14ac:dyDescent="0.25">
      <c r="P632"/>
      <c r="Q632"/>
    </row>
    <row r="633" spans="16:17" x14ac:dyDescent="0.25">
      <c r="P633"/>
      <c r="Q633"/>
    </row>
    <row r="634" spans="16:17" x14ac:dyDescent="0.25">
      <c r="P634"/>
      <c r="Q634"/>
    </row>
    <row r="635" spans="16:17" x14ac:dyDescent="0.25">
      <c r="P635"/>
      <c r="Q635"/>
    </row>
    <row r="636" spans="16:17" x14ac:dyDescent="0.25">
      <c r="P636"/>
      <c r="Q636"/>
    </row>
    <row r="637" spans="16:17" x14ac:dyDescent="0.25">
      <c r="P637"/>
      <c r="Q637"/>
    </row>
    <row r="638" spans="16:17" x14ac:dyDescent="0.25">
      <c r="P638"/>
      <c r="Q638"/>
    </row>
    <row r="639" spans="16:17" x14ac:dyDescent="0.25">
      <c r="P639"/>
      <c r="Q639"/>
    </row>
    <row r="640" spans="16:17" x14ac:dyDescent="0.25">
      <c r="P640"/>
      <c r="Q640"/>
    </row>
    <row r="641" spans="16:17" x14ac:dyDescent="0.25">
      <c r="P641"/>
      <c r="Q641"/>
    </row>
    <row r="642" spans="16:17" x14ac:dyDescent="0.25">
      <c r="P642"/>
      <c r="Q642"/>
    </row>
    <row r="643" spans="16:17" x14ac:dyDescent="0.25">
      <c r="P643"/>
      <c r="Q643"/>
    </row>
    <row r="644" spans="16:17" x14ac:dyDescent="0.25">
      <c r="P644"/>
      <c r="Q644"/>
    </row>
    <row r="645" spans="16:17" x14ac:dyDescent="0.25">
      <c r="P645"/>
      <c r="Q645"/>
    </row>
    <row r="646" spans="16:17" x14ac:dyDescent="0.25">
      <c r="P646"/>
      <c r="Q646"/>
    </row>
    <row r="647" spans="16:17" x14ac:dyDescent="0.25">
      <c r="P647"/>
      <c r="Q647"/>
    </row>
    <row r="648" spans="16:17" x14ac:dyDescent="0.25">
      <c r="P648"/>
      <c r="Q648"/>
    </row>
    <row r="649" spans="16:17" x14ac:dyDescent="0.25">
      <c r="P649"/>
      <c r="Q649"/>
    </row>
    <row r="650" spans="16:17" x14ac:dyDescent="0.25">
      <c r="P650"/>
      <c r="Q650"/>
    </row>
    <row r="651" spans="16:17" x14ac:dyDescent="0.25">
      <c r="P651"/>
      <c r="Q651"/>
    </row>
    <row r="652" spans="16:17" x14ac:dyDescent="0.25">
      <c r="P652"/>
      <c r="Q652"/>
    </row>
    <row r="653" spans="16:17" x14ac:dyDescent="0.25">
      <c r="P653"/>
      <c r="Q653"/>
    </row>
    <row r="654" spans="16:17" x14ac:dyDescent="0.25">
      <c r="P654"/>
      <c r="Q654"/>
    </row>
    <row r="655" spans="16:17" x14ac:dyDescent="0.25">
      <c r="P655"/>
      <c r="Q655"/>
    </row>
    <row r="656" spans="16:17" x14ac:dyDescent="0.25">
      <c r="P656"/>
      <c r="Q656"/>
    </row>
    <row r="657" spans="16:17" x14ac:dyDescent="0.25">
      <c r="P657"/>
      <c r="Q657"/>
    </row>
    <row r="658" spans="16:17" x14ac:dyDescent="0.25">
      <c r="P658"/>
      <c r="Q658"/>
    </row>
    <row r="659" spans="16:17" x14ac:dyDescent="0.25">
      <c r="P659"/>
      <c r="Q659"/>
    </row>
    <row r="660" spans="16:17" x14ac:dyDescent="0.25">
      <c r="P660"/>
      <c r="Q660"/>
    </row>
    <row r="661" spans="16:17" x14ac:dyDescent="0.25">
      <c r="P661"/>
      <c r="Q661"/>
    </row>
    <row r="662" spans="16:17" x14ac:dyDescent="0.25">
      <c r="P662"/>
      <c r="Q662"/>
    </row>
    <row r="663" spans="16:17" x14ac:dyDescent="0.25">
      <c r="P663"/>
      <c r="Q663"/>
    </row>
    <row r="664" spans="16:17" x14ac:dyDescent="0.25">
      <c r="P664"/>
      <c r="Q664"/>
    </row>
    <row r="665" spans="16:17" x14ac:dyDescent="0.25">
      <c r="P665"/>
      <c r="Q665"/>
    </row>
    <row r="666" spans="16:17" x14ac:dyDescent="0.25">
      <c r="P666"/>
      <c r="Q666"/>
    </row>
    <row r="667" spans="16:17" x14ac:dyDescent="0.25">
      <c r="P667"/>
      <c r="Q667"/>
    </row>
    <row r="668" spans="16:17" x14ac:dyDescent="0.25">
      <c r="P668"/>
      <c r="Q668"/>
    </row>
    <row r="669" spans="16:17" x14ac:dyDescent="0.25">
      <c r="P669"/>
      <c r="Q669"/>
    </row>
    <row r="670" spans="16:17" x14ac:dyDescent="0.25">
      <c r="P670"/>
      <c r="Q670"/>
    </row>
    <row r="671" spans="16:17" x14ac:dyDescent="0.25">
      <c r="P671"/>
      <c r="Q671"/>
    </row>
    <row r="672" spans="16:17" x14ac:dyDescent="0.25">
      <c r="P672"/>
      <c r="Q672"/>
    </row>
    <row r="673" spans="16:17" x14ac:dyDescent="0.25">
      <c r="P673"/>
      <c r="Q673"/>
    </row>
    <row r="674" spans="16:17" x14ac:dyDescent="0.25">
      <c r="P674"/>
      <c r="Q674"/>
    </row>
    <row r="675" spans="16:17" x14ac:dyDescent="0.25">
      <c r="P675"/>
      <c r="Q675"/>
    </row>
    <row r="676" spans="16:17" x14ac:dyDescent="0.25">
      <c r="P676"/>
      <c r="Q676"/>
    </row>
    <row r="677" spans="16:17" x14ac:dyDescent="0.25">
      <c r="P677"/>
      <c r="Q677"/>
    </row>
    <row r="678" spans="16:17" x14ac:dyDescent="0.25">
      <c r="P678"/>
      <c r="Q678"/>
    </row>
    <row r="679" spans="16:17" x14ac:dyDescent="0.25">
      <c r="P679"/>
      <c r="Q679"/>
    </row>
    <row r="680" spans="16:17" x14ac:dyDescent="0.25">
      <c r="P680"/>
      <c r="Q680"/>
    </row>
    <row r="681" spans="16:17" x14ac:dyDescent="0.25">
      <c r="P681"/>
      <c r="Q681"/>
    </row>
    <row r="682" spans="16:17" x14ac:dyDescent="0.25">
      <c r="P682"/>
      <c r="Q682"/>
    </row>
    <row r="683" spans="16:17" x14ac:dyDescent="0.25">
      <c r="P683"/>
      <c r="Q683"/>
    </row>
    <row r="684" spans="16:17" x14ac:dyDescent="0.25">
      <c r="P684"/>
      <c r="Q684"/>
    </row>
    <row r="685" spans="16:17" x14ac:dyDescent="0.25">
      <c r="P685"/>
      <c r="Q685"/>
    </row>
    <row r="686" spans="16:17" x14ac:dyDescent="0.25">
      <c r="P686"/>
      <c r="Q686"/>
    </row>
    <row r="687" spans="16:17" x14ac:dyDescent="0.25">
      <c r="P687"/>
      <c r="Q687"/>
    </row>
    <row r="688" spans="16:17" x14ac:dyDescent="0.25">
      <c r="P688"/>
      <c r="Q688"/>
    </row>
    <row r="689" spans="16:17" x14ac:dyDescent="0.25">
      <c r="P689"/>
      <c r="Q689"/>
    </row>
    <row r="690" spans="16:17" x14ac:dyDescent="0.25">
      <c r="P690"/>
      <c r="Q690"/>
    </row>
    <row r="691" spans="16:17" x14ac:dyDescent="0.25">
      <c r="P691"/>
      <c r="Q691"/>
    </row>
    <row r="692" spans="16:17" x14ac:dyDescent="0.25">
      <c r="P692"/>
      <c r="Q692"/>
    </row>
    <row r="693" spans="16:17" x14ac:dyDescent="0.25">
      <c r="P693"/>
      <c r="Q693"/>
    </row>
    <row r="694" spans="16:17" x14ac:dyDescent="0.25">
      <c r="P694"/>
      <c r="Q694"/>
    </row>
    <row r="695" spans="16:17" x14ac:dyDescent="0.25">
      <c r="P695"/>
      <c r="Q695"/>
    </row>
    <row r="696" spans="16:17" x14ac:dyDescent="0.25">
      <c r="P696"/>
      <c r="Q696"/>
    </row>
    <row r="697" spans="16:17" x14ac:dyDescent="0.25">
      <c r="P697"/>
      <c r="Q697"/>
    </row>
    <row r="698" spans="16:17" x14ac:dyDescent="0.25">
      <c r="P698"/>
      <c r="Q698"/>
    </row>
    <row r="699" spans="16:17" x14ac:dyDescent="0.25">
      <c r="P699"/>
      <c r="Q699"/>
    </row>
    <row r="700" spans="16:17" x14ac:dyDescent="0.25">
      <c r="P700"/>
      <c r="Q700"/>
    </row>
    <row r="701" spans="16:17" x14ac:dyDescent="0.25">
      <c r="P701"/>
      <c r="Q701"/>
    </row>
    <row r="702" spans="16:17" x14ac:dyDescent="0.25">
      <c r="P702"/>
      <c r="Q702"/>
    </row>
    <row r="703" spans="16:17" x14ac:dyDescent="0.25">
      <c r="P703"/>
      <c r="Q703"/>
    </row>
    <row r="704" spans="16:17" x14ac:dyDescent="0.25">
      <c r="P704"/>
      <c r="Q704"/>
    </row>
    <row r="705" spans="16:17" x14ac:dyDescent="0.25">
      <c r="P705"/>
      <c r="Q705"/>
    </row>
    <row r="706" spans="16:17" x14ac:dyDescent="0.25">
      <c r="P706"/>
      <c r="Q706"/>
    </row>
    <row r="707" spans="16:17" x14ac:dyDescent="0.25">
      <c r="P707"/>
      <c r="Q707"/>
    </row>
    <row r="708" spans="16:17" x14ac:dyDescent="0.25">
      <c r="P708"/>
      <c r="Q708"/>
    </row>
    <row r="709" spans="16:17" x14ac:dyDescent="0.25">
      <c r="P709"/>
      <c r="Q709"/>
    </row>
    <row r="710" spans="16:17" x14ac:dyDescent="0.25">
      <c r="P710"/>
      <c r="Q710"/>
    </row>
    <row r="711" spans="16:17" x14ac:dyDescent="0.25">
      <c r="P711"/>
      <c r="Q711"/>
    </row>
    <row r="712" spans="16:17" x14ac:dyDescent="0.25">
      <c r="P712"/>
      <c r="Q712"/>
    </row>
    <row r="713" spans="16:17" x14ac:dyDescent="0.25">
      <c r="P713"/>
      <c r="Q713"/>
    </row>
    <row r="714" spans="16:17" x14ac:dyDescent="0.25">
      <c r="P714"/>
      <c r="Q714"/>
    </row>
    <row r="715" spans="16:17" x14ac:dyDescent="0.25">
      <c r="P715"/>
      <c r="Q715"/>
    </row>
    <row r="716" spans="16:17" x14ac:dyDescent="0.25">
      <c r="P716"/>
      <c r="Q716"/>
    </row>
    <row r="717" spans="16:17" x14ac:dyDescent="0.25">
      <c r="P717"/>
      <c r="Q717"/>
    </row>
    <row r="718" spans="16:17" x14ac:dyDescent="0.25">
      <c r="P718"/>
      <c r="Q718"/>
    </row>
    <row r="719" spans="16:17" x14ac:dyDescent="0.25">
      <c r="P719"/>
      <c r="Q719"/>
    </row>
    <row r="720" spans="16:17" x14ac:dyDescent="0.25">
      <c r="P720"/>
      <c r="Q720"/>
    </row>
    <row r="721" spans="16:17" x14ac:dyDescent="0.25">
      <c r="P721"/>
      <c r="Q721"/>
    </row>
    <row r="722" spans="16:17" x14ac:dyDescent="0.25">
      <c r="P722"/>
      <c r="Q722"/>
    </row>
    <row r="723" spans="16:17" x14ac:dyDescent="0.25">
      <c r="P723"/>
      <c r="Q723"/>
    </row>
    <row r="724" spans="16:17" x14ac:dyDescent="0.25">
      <c r="P724"/>
      <c r="Q724"/>
    </row>
    <row r="725" spans="16:17" x14ac:dyDescent="0.25">
      <c r="P725"/>
      <c r="Q725"/>
    </row>
    <row r="726" spans="16:17" x14ac:dyDescent="0.25">
      <c r="P726"/>
      <c r="Q726"/>
    </row>
    <row r="727" spans="16:17" x14ac:dyDescent="0.25">
      <c r="P727"/>
      <c r="Q727"/>
    </row>
    <row r="728" spans="16:17" x14ac:dyDescent="0.25">
      <c r="P728"/>
      <c r="Q728"/>
    </row>
    <row r="729" spans="16:17" x14ac:dyDescent="0.25">
      <c r="P729"/>
      <c r="Q729"/>
    </row>
    <row r="730" spans="16:17" x14ac:dyDescent="0.25">
      <c r="P730"/>
      <c r="Q730"/>
    </row>
    <row r="731" spans="16:17" x14ac:dyDescent="0.25">
      <c r="P731"/>
      <c r="Q731"/>
    </row>
    <row r="732" spans="16:17" x14ac:dyDescent="0.25">
      <c r="P732"/>
      <c r="Q732"/>
    </row>
    <row r="733" spans="16:17" x14ac:dyDescent="0.25">
      <c r="P733"/>
      <c r="Q733"/>
    </row>
    <row r="734" spans="16:17" x14ac:dyDescent="0.25">
      <c r="P734"/>
      <c r="Q734"/>
    </row>
    <row r="735" spans="16:17" x14ac:dyDescent="0.25">
      <c r="P735"/>
      <c r="Q735"/>
    </row>
    <row r="736" spans="16:17" x14ac:dyDescent="0.25">
      <c r="P736"/>
      <c r="Q736"/>
    </row>
    <row r="737" spans="16:17" x14ac:dyDescent="0.25">
      <c r="P737"/>
      <c r="Q737"/>
    </row>
    <row r="738" spans="16:17" x14ac:dyDescent="0.25">
      <c r="P738"/>
      <c r="Q738"/>
    </row>
    <row r="739" spans="16:17" x14ac:dyDescent="0.25">
      <c r="P739"/>
      <c r="Q739"/>
    </row>
    <row r="740" spans="16:17" x14ac:dyDescent="0.25">
      <c r="P740"/>
      <c r="Q740"/>
    </row>
    <row r="741" spans="16:17" x14ac:dyDescent="0.25">
      <c r="P741"/>
      <c r="Q741"/>
    </row>
    <row r="742" spans="16:17" x14ac:dyDescent="0.25">
      <c r="P742"/>
      <c r="Q742"/>
    </row>
    <row r="743" spans="16:17" x14ac:dyDescent="0.25">
      <c r="P743"/>
      <c r="Q743"/>
    </row>
    <row r="744" spans="16:17" x14ac:dyDescent="0.25">
      <c r="P744"/>
      <c r="Q744"/>
    </row>
    <row r="745" spans="16:17" x14ac:dyDescent="0.25">
      <c r="P745"/>
      <c r="Q745"/>
    </row>
    <row r="746" spans="16:17" x14ac:dyDescent="0.25">
      <c r="P746"/>
      <c r="Q746"/>
    </row>
    <row r="747" spans="16:17" x14ac:dyDescent="0.25">
      <c r="P747"/>
      <c r="Q747"/>
    </row>
    <row r="748" spans="16:17" x14ac:dyDescent="0.25">
      <c r="P748"/>
      <c r="Q748"/>
    </row>
    <row r="749" spans="16:17" x14ac:dyDescent="0.25">
      <c r="P749"/>
      <c r="Q749"/>
    </row>
    <row r="750" spans="16:17" x14ac:dyDescent="0.25">
      <c r="P750"/>
      <c r="Q750"/>
    </row>
    <row r="751" spans="16:17" x14ac:dyDescent="0.25">
      <c r="P751"/>
      <c r="Q751"/>
    </row>
    <row r="752" spans="16:17" x14ac:dyDescent="0.25">
      <c r="P752"/>
      <c r="Q752"/>
    </row>
    <row r="753" spans="16:17" x14ac:dyDescent="0.25">
      <c r="P753"/>
      <c r="Q753"/>
    </row>
    <row r="754" spans="16:17" x14ac:dyDescent="0.25">
      <c r="P754"/>
      <c r="Q754"/>
    </row>
    <row r="755" spans="16:17" x14ac:dyDescent="0.25">
      <c r="P755"/>
      <c r="Q755"/>
    </row>
    <row r="756" spans="16:17" x14ac:dyDescent="0.25">
      <c r="P756"/>
      <c r="Q756"/>
    </row>
    <row r="757" spans="16:17" x14ac:dyDescent="0.25">
      <c r="P757"/>
      <c r="Q757"/>
    </row>
    <row r="758" spans="16:17" x14ac:dyDescent="0.25">
      <c r="P758"/>
      <c r="Q758"/>
    </row>
    <row r="759" spans="16:17" x14ac:dyDescent="0.25">
      <c r="P759"/>
      <c r="Q759"/>
    </row>
    <row r="760" spans="16:17" x14ac:dyDescent="0.25">
      <c r="P760"/>
      <c r="Q760"/>
    </row>
    <row r="761" spans="16:17" x14ac:dyDescent="0.25">
      <c r="P761"/>
      <c r="Q761"/>
    </row>
    <row r="762" spans="16:17" x14ac:dyDescent="0.25">
      <c r="P762"/>
      <c r="Q762"/>
    </row>
    <row r="763" spans="16:17" x14ac:dyDescent="0.25">
      <c r="P763"/>
      <c r="Q763"/>
    </row>
    <row r="764" spans="16:17" x14ac:dyDescent="0.25">
      <c r="P764"/>
      <c r="Q764"/>
    </row>
    <row r="765" spans="16:17" x14ac:dyDescent="0.25">
      <c r="P765"/>
      <c r="Q765"/>
    </row>
    <row r="766" spans="16:17" x14ac:dyDescent="0.25">
      <c r="P766"/>
      <c r="Q766"/>
    </row>
    <row r="767" spans="16:17" x14ac:dyDescent="0.25">
      <c r="P767"/>
      <c r="Q767"/>
    </row>
    <row r="768" spans="16:17" x14ac:dyDescent="0.25">
      <c r="P768"/>
      <c r="Q768"/>
    </row>
    <row r="769" spans="16:17" x14ac:dyDescent="0.25">
      <c r="P769"/>
      <c r="Q769"/>
    </row>
    <row r="770" spans="16:17" x14ac:dyDescent="0.25">
      <c r="P770"/>
      <c r="Q770"/>
    </row>
    <row r="771" spans="16:17" x14ac:dyDescent="0.25">
      <c r="P771"/>
      <c r="Q771"/>
    </row>
    <row r="772" spans="16:17" x14ac:dyDescent="0.25">
      <c r="P772"/>
      <c r="Q772"/>
    </row>
    <row r="773" spans="16:17" x14ac:dyDescent="0.25">
      <c r="P773"/>
      <c r="Q773"/>
    </row>
    <row r="774" spans="16:17" x14ac:dyDescent="0.25">
      <c r="P774"/>
      <c r="Q774"/>
    </row>
    <row r="775" spans="16:17" x14ac:dyDescent="0.25">
      <c r="P775"/>
      <c r="Q775"/>
    </row>
    <row r="776" spans="16:17" x14ac:dyDescent="0.25">
      <c r="P776"/>
      <c r="Q776"/>
    </row>
    <row r="777" spans="16:17" x14ac:dyDescent="0.25">
      <c r="P777"/>
      <c r="Q777"/>
    </row>
    <row r="778" spans="16:17" x14ac:dyDescent="0.25">
      <c r="P778"/>
      <c r="Q778"/>
    </row>
    <row r="779" spans="16:17" x14ac:dyDescent="0.25">
      <c r="P779"/>
      <c r="Q779"/>
    </row>
    <row r="780" spans="16:17" x14ac:dyDescent="0.25">
      <c r="P780"/>
      <c r="Q780"/>
    </row>
    <row r="781" spans="16:17" x14ac:dyDescent="0.25">
      <c r="P781"/>
      <c r="Q781"/>
    </row>
    <row r="782" spans="16:17" x14ac:dyDescent="0.25">
      <c r="P782"/>
      <c r="Q782"/>
    </row>
    <row r="783" spans="16:17" x14ac:dyDescent="0.25">
      <c r="P783"/>
      <c r="Q783"/>
    </row>
    <row r="784" spans="16:17" x14ac:dyDescent="0.25">
      <c r="P784"/>
      <c r="Q784"/>
    </row>
    <row r="785" spans="16:17" x14ac:dyDescent="0.25">
      <c r="P785"/>
      <c r="Q785"/>
    </row>
    <row r="786" spans="16:17" x14ac:dyDescent="0.25">
      <c r="P786"/>
      <c r="Q786"/>
    </row>
    <row r="787" spans="16:17" x14ac:dyDescent="0.25">
      <c r="P787"/>
      <c r="Q787"/>
    </row>
    <row r="788" spans="16:17" x14ac:dyDescent="0.25">
      <c r="P788"/>
      <c r="Q788"/>
    </row>
    <row r="789" spans="16:17" x14ac:dyDescent="0.25">
      <c r="P789"/>
      <c r="Q789"/>
    </row>
    <row r="790" spans="16:17" x14ac:dyDescent="0.25">
      <c r="P790"/>
      <c r="Q790"/>
    </row>
    <row r="791" spans="16:17" x14ac:dyDescent="0.25">
      <c r="P791"/>
      <c r="Q791"/>
    </row>
    <row r="792" spans="16:17" x14ac:dyDescent="0.25">
      <c r="P792"/>
      <c r="Q792"/>
    </row>
    <row r="793" spans="16:17" x14ac:dyDescent="0.25">
      <c r="P793"/>
      <c r="Q793"/>
    </row>
    <row r="794" spans="16:17" x14ac:dyDescent="0.25">
      <c r="P794"/>
      <c r="Q794"/>
    </row>
    <row r="795" spans="16:17" x14ac:dyDescent="0.25">
      <c r="P795"/>
      <c r="Q795"/>
    </row>
    <row r="796" spans="16:17" x14ac:dyDescent="0.25">
      <c r="P796"/>
      <c r="Q796"/>
    </row>
    <row r="797" spans="16:17" x14ac:dyDescent="0.25">
      <c r="P797"/>
      <c r="Q797"/>
    </row>
    <row r="798" spans="16:17" x14ac:dyDescent="0.25">
      <c r="P798"/>
      <c r="Q798"/>
    </row>
    <row r="799" spans="16:17" x14ac:dyDescent="0.25">
      <c r="P799"/>
      <c r="Q799"/>
    </row>
    <row r="800" spans="16:17" x14ac:dyDescent="0.25">
      <c r="P800"/>
      <c r="Q800"/>
    </row>
    <row r="801" spans="16:17" x14ac:dyDescent="0.25">
      <c r="P801"/>
      <c r="Q801"/>
    </row>
    <row r="802" spans="16:17" x14ac:dyDescent="0.25">
      <c r="P802"/>
      <c r="Q802"/>
    </row>
    <row r="803" spans="16:17" x14ac:dyDescent="0.25">
      <c r="P803"/>
      <c r="Q803"/>
    </row>
    <row r="804" spans="16:17" x14ac:dyDescent="0.25">
      <c r="P804"/>
      <c r="Q804"/>
    </row>
    <row r="805" spans="16:17" x14ac:dyDescent="0.25">
      <c r="P805"/>
      <c r="Q805"/>
    </row>
    <row r="806" spans="16:17" x14ac:dyDescent="0.25">
      <c r="P806"/>
      <c r="Q806"/>
    </row>
    <row r="807" spans="16:17" x14ac:dyDescent="0.25">
      <c r="P807"/>
      <c r="Q807"/>
    </row>
    <row r="808" spans="16:17" x14ac:dyDescent="0.25">
      <c r="P808"/>
      <c r="Q808"/>
    </row>
    <row r="809" spans="16:17" x14ac:dyDescent="0.25">
      <c r="P809"/>
      <c r="Q809"/>
    </row>
    <row r="810" spans="16:17" x14ac:dyDescent="0.25">
      <c r="P810"/>
      <c r="Q810"/>
    </row>
    <row r="811" spans="16:17" x14ac:dyDescent="0.25">
      <c r="P811"/>
      <c r="Q811"/>
    </row>
    <row r="812" spans="16:17" x14ac:dyDescent="0.25">
      <c r="P812"/>
      <c r="Q812"/>
    </row>
    <row r="813" spans="16:17" x14ac:dyDescent="0.25">
      <c r="P813"/>
      <c r="Q813"/>
    </row>
    <row r="814" spans="16:17" x14ac:dyDescent="0.25">
      <c r="P814"/>
      <c r="Q814"/>
    </row>
    <row r="815" spans="16:17" x14ac:dyDescent="0.25">
      <c r="P815"/>
      <c r="Q815"/>
    </row>
    <row r="816" spans="16:17" x14ac:dyDescent="0.25">
      <c r="P816"/>
      <c r="Q816"/>
    </row>
    <row r="817" spans="16:17" x14ac:dyDescent="0.25">
      <c r="P817"/>
      <c r="Q817"/>
    </row>
    <row r="818" spans="16:17" x14ac:dyDescent="0.25">
      <c r="P818"/>
      <c r="Q818"/>
    </row>
    <row r="819" spans="16:17" x14ac:dyDescent="0.25">
      <c r="P819"/>
      <c r="Q819"/>
    </row>
    <row r="820" spans="16:17" x14ac:dyDescent="0.25">
      <c r="P820"/>
      <c r="Q820"/>
    </row>
    <row r="821" spans="16:17" x14ac:dyDescent="0.25">
      <c r="P821"/>
      <c r="Q821"/>
    </row>
    <row r="822" spans="16:17" x14ac:dyDescent="0.25">
      <c r="P822"/>
      <c r="Q822"/>
    </row>
    <row r="823" spans="16:17" x14ac:dyDescent="0.25">
      <c r="P823"/>
      <c r="Q823"/>
    </row>
    <row r="824" spans="16:17" x14ac:dyDescent="0.25">
      <c r="P824"/>
      <c r="Q824"/>
    </row>
    <row r="825" spans="16:17" x14ac:dyDescent="0.25">
      <c r="P825"/>
      <c r="Q825"/>
    </row>
    <row r="826" spans="16:17" x14ac:dyDescent="0.25">
      <c r="P826"/>
      <c r="Q826"/>
    </row>
    <row r="827" spans="16:17" x14ac:dyDescent="0.25">
      <c r="P827"/>
      <c r="Q827"/>
    </row>
    <row r="828" spans="16:17" x14ac:dyDescent="0.25">
      <c r="P828"/>
      <c r="Q828"/>
    </row>
    <row r="829" spans="16:17" x14ac:dyDescent="0.25">
      <c r="P829"/>
      <c r="Q829"/>
    </row>
    <row r="830" spans="16:17" x14ac:dyDescent="0.25">
      <c r="P830"/>
      <c r="Q830"/>
    </row>
    <row r="831" spans="16:17" x14ac:dyDescent="0.25">
      <c r="P831"/>
      <c r="Q831"/>
    </row>
    <row r="832" spans="16:17" x14ac:dyDescent="0.25">
      <c r="P832"/>
      <c r="Q832"/>
    </row>
    <row r="833" spans="16:17" x14ac:dyDescent="0.25">
      <c r="P833"/>
      <c r="Q833"/>
    </row>
    <row r="834" spans="16:17" x14ac:dyDescent="0.25">
      <c r="P834"/>
      <c r="Q834"/>
    </row>
    <row r="835" spans="16:17" x14ac:dyDescent="0.25">
      <c r="P835"/>
      <c r="Q835"/>
    </row>
    <row r="836" spans="16:17" x14ac:dyDescent="0.25">
      <c r="P836"/>
      <c r="Q836"/>
    </row>
    <row r="837" spans="16:17" x14ac:dyDescent="0.25">
      <c r="P837"/>
      <c r="Q837"/>
    </row>
    <row r="838" spans="16:17" x14ac:dyDescent="0.25">
      <c r="P838"/>
      <c r="Q838"/>
    </row>
    <row r="839" spans="16:17" x14ac:dyDescent="0.25">
      <c r="P839"/>
      <c r="Q839"/>
    </row>
    <row r="840" spans="16:17" x14ac:dyDescent="0.25">
      <c r="P840"/>
      <c r="Q840"/>
    </row>
    <row r="841" spans="16:17" x14ac:dyDescent="0.25">
      <c r="P841"/>
      <c r="Q841"/>
    </row>
    <row r="842" spans="16:17" x14ac:dyDescent="0.25">
      <c r="P842"/>
      <c r="Q842"/>
    </row>
    <row r="843" spans="16:17" x14ac:dyDescent="0.25">
      <c r="P843"/>
      <c r="Q843"/>
    </row>
    <row r="844" spans="16:17" x14ac:dyDescent="0.25">
      <c r="P844"/>
      <c r="Q844"/>
    </row>
    <row r="845" spans="16:17" x14ac:dyDescent="0.25">
      <c r="P845"/>
      <c r="Q845"/>
    </row>
    <row r="846" spans="16:17" x14ac:dyDescent="0.25">
      <c r="P846"/>
      <c r="Q846"/>
    </row>
    <row r="847" spans="16:17" x14ac:dyDescent="0.25">
      <c r="P847"/>
      <c r="Q847"/>
    </row>
    <row r="848" spans="16:17" x14ac:dyDescent="0.25">
      <c r="P848"/>
      <c r="Q848"/>
    </row>
    <row r="849" spans="16:17" x14ac:dyDescent="0.25">
      <c r="P849"/>
      <c r="Q849"/>
    </row>
    <row r="850" spans="16:17" x14ac:dyDescent="0.25">
      <c r="P850"/>
      <c r="Q850"/>
    </row>
    <row r="851" spans="16:17" x14ac:dyDescent="0.25">
      <c r="P851"/>
      <c r="Q851"/>
    </row>
    <row r="852" spans="16:17" x14ac:dyDescent="0.25">
      <c r="P852"/>
      <c r="Q852"/>
    </row>
    <row r="853" spans="16:17" x14ac:dyDescent="0.25">
      <c r="P853"/>
      <c r="Q853"/>
    </row>
    <row r="854" spans="16:17" x14ac:dyDescent="0.25">
      <c r="P854"/>
      <c r="Q854"/>
    </row>
    <row r="855" spans="16:17" x14ac:dyDescent="0.25">
      <c r="P855"/>
      <c r="Q855"/>
    </row>
    <row r="856" spans="16:17" x14ac:dyDescent="0.25">
      <c r="P856"/>
      <c r="Q856"/>
    </row>
    <row r="857" spans="16:17" x14ac:dyDescent="0.25">
      <c r="P857"/>
      <c r="Q857"/>
    </row>
    <row r="858" spans="16:17" x14ac:dyDescent="0.25">
      <c r="P858"/>
      <c r="Q858"/>
    </row>
    <row r="859" spans="16:17" x14ac:dyDescent="0.25">
      <c r="P859"/>
      <c r="Q859"/>
    </row>
    <row r="860" spans="16:17" x14ac:dyDescent="0.25">
      <c r="P860"/>
      <c r="Q860"/>
    </row>
    <row r="861" spans="16:17" x14ac:dyDescent="0.25">
      <c r="P861"/>
      <c r="Q861"/>
    </row>
    <row r="862" spans="16:17" x14ac:dyDescent="0.25">
      <c r="P862"/>
      <c r="Q862"/>
    </row>
    <row r="863" spans="16:17" x14ac:dyDescent="0.25">
      <c r="P863"/>
      <c r="Q863"/>
    </row>
    <row r="864" spans="16:17" x14ac:dyDescent="0.25">
      <c r="P864"/>
      <c r="Q864"/>
    </row>
    <row r="865" spans="16:17" x14ac:dyDescent="0.25">
      <c r="P865"/>
      <c r="Q865"/>
    </row>
    <row r="866" spans="16:17" x14ac:dyDescent="0.25">
      <c r="P866"/>
      <c r="Q866"/>
    </row>
    <row r="867" spans="16:17" x14ac:dyDescent="0.25">
      <c r="P867"/>
      <c r="Q867"/>
    </row>
    <row r="868" spans="16:17" x14ac:dyDescent="0.25">
      <c r="P868"/>
      <c r="Q868"/>
    </row>
    <row r="869" spans="16:17" x14ac:dyDescent="0.25">
      <c r="P869"/>
      <c r="Q869"/>
    </row>
    <row r="870" spans="16:17" x14ac:dyDescent="0.25">
      <c r="P870"/>
      <c r="Q870"/>
    </row>
    <row r="871" spans="16:17" x14ac:dyDescent="0.25">
      <c r="P871"/>
      <c r="Q871"/>
    </row>
    <row r="872" spans="16:17" x14ac:dyDescent="0.25">
      <c r="P872"/>
      <c r="Q872"/>
    </row>
    <row r="873" spans="16:17" x14ac:dyDescent="0.25">
      <c r="P873"/>
      <c r="Q873"/>
    </row>
    <row r="874" spans="16:17" x14ac:dyDescent="0.25">
      <c r="P874"/>
      <c r="Q874"/>
    </row>
    <row r="875" spans="16:17" x14ac:dyDescent="0.25">
      <c r="P875"/>
      <c r="Q875"/>
    </row>
    <row r="876" spans="16:17" x14ac:dyDescent="0.25">
      <c r="P876"/>
      <c r="Q876"/>
    </row>
    <row r="877" spans="16:17" x14ac:dyDescent="0.25">
      <c r="P877"/>
      <c r="Q877"/>
    </row>
    <row r="878" spans="16:17" x14ac:dyDescent="0.25">
      <c r="P878"/>
      <c r="Q878"/>
    </row>
    <row r="879" spans="16:17" x14ac:dyDescent="0.25">
      <c r="P879"/>
      <c r="Q879"/>
    </row>
    <row r="880" spans="16:17" x14ac:dyDescent="0.25">
      <c r="P880"/>
      <c r="Q880"/>
    </row>
    <row r="881" spans="16:17" x14ac:dyDescent="0.25">
      <c r="P881"/>
      <c r="Q881"/>
    </row>
    <row r="882" spans="16:17" x14ac:dyDescent="0.25">
      <c r="P882"/>
      <c r="Q882"/>
    </row>
    <row r="883" spans="16:17" x14ac:dyDescent="0.25">
      <c r="P883"/>
      <c r="Q883"/>
    </row>
    <row r="884" spans="16:17" x14ac:dyDescent="0.25">
      <c r="P884"/>
      <c r="Q884"/>
    </row>
    <row r="885" spans="16:17" x14ac:dyDescent="0.25">
      <c r="P885"/>
      <c r="Q885"/>
    </row>
    <row r="886" spans="16:17" x14ac:dyDescent="0.25">
      <c r="P886"/>
      <c r="Q886"/>
    </row>
    <row r="887" spans="16:17" x14ac:dyDescent="0.25">
      <c r="P887"/>
      <c r="Q887"/>
    </row>
    <row r="888" spans="16:17" x14ac:dyDescent="0.25">
      <c r="P888"/>
      <c r="Q888"/>
    </row>
    <row r="889" spans="16:17" x14ac:dyDescent="0.25">
      <c r="P889"/>
      <c r="Q889"/>
    </row>
    <row r="890" spans="16:17" x14ac:dyDescent="0.25">
      <c r="P890"/>
      <c r="Q890"/>
    </row>
    <row r="891" spans="16:17" x14ac:dyDescent="0.25">
      <c r="P891"/>
      <c r="Q891"/>
    </row>
    <row r="892" spans="16:17" x14ac:dyDescent="0.25">
      <c r="P892"/>
      <c r="Q892"/>
    </row>
    <row r="893" spans="16:17" x14ac:dyDescent="0.25">
      <c r="P893"/>
      <c r="Q893"/>
    </row>
    <row r="894" spans="16:17" x14ac:dyDescent="0.25">
      <c r="P894"/>
      <c r="Q894"/>
    </row>
    <row r="895" spans="16:17" x14ac:dyDescent="0.25">
      <c r="P895"/>
      <c r="Q895"/>
    </row>
    <row r="896" spans="16:17" x14ac:dyDescent="0.25">
      <c r="P896"/>
      <c r="Q896"/>
    </row>
    <row r="897" spans="16:17" x14ac:dyDescent="0.25">
      <c r="P897"/>
      <c r="Q897"/>
    </row>
    <row r="898" spans="16:17" x14ac:dyDescent="0.25">
      <c r="P898"/>
      <c r="Q898"/>
    </row>
    <row r="899" spans="16:17" x14ac:dyDescent="0.25">
      <c r="P899"/>
      <c r="Q899"/>
    </row>
    <row r="900" spans="16:17" x14ac:dyDescent="0.25">
      <c r="P900"/>
      <c r="Q900"/>
    </row>
    <row r="901" spans="16:17" x14ac:dyDescent="0.25">
      <c r="P901"/>
      <c r="Q901"/>
    </row>
    <row r="902" spans="16:17" x14ac:dyDescent="0.25">
      <c r="P902"/>
      <c r="Q902"/>
    </row>
    <row r="903" spans="16:17" x14ac:dyDescent="0.25">
      <c r="P903"/>
      <c r="Q903"/>
    </row>
    <row r="904" spans="16:17" x14ac:dyDescent="0.25">
      <c r="P904"/>
      <c r="Q904"/>
    </row>
    <row r="905" spans="16:17" x14ac:dyDescent="0.25">
      <c r="P905"/>
      <c r="Q905"/>
    </row>
    <row r="906" spans="16:17" x14ac:dyDescent="0.25">
      <c r="P906"/>
      <c r="Q906"/>
    </row>
    <row r="907" spans="16:17" x14ac:dyDescent="0.25">
      <c r="P907"/>
      <c r="Q907"/>
    </row>
    <row r="908" spans="16:17" x14ac:dyDescent="0.25">
      <c r="P908"/>
      <c r="Q908"/>
    </row>
    <row r="909" spans="16:17" x14ac:dyDescent="0.25">
      <c r="P909"/>
      <c r="Q909"/>
    </row>
    <row r="910" spans="16:17" x14ac:dyDescent="0.25">
      <c r="P910"/>
      <c r="Q910"/>
    </row>
    <row r="911" spans="16:17" x14ac:dyDescent="0.25">
      <c r="P911"/>
      <c r="Q911"/>
    </row>
    <row r="912" spans="16:17" x14ac:dyDescent="0.25">
      <c r="P912"/>
      <c r="Q912"/>
    </row>
    <row r="913" spans="16:17" x14ac:dyDescent="0.25">
      <c r="P913"/>
      <c r="Q913"/>
    </row>
    <row r="914" spans="16:17" x14ac:dyDescent="0.25">
      <c r="P914"/>
      <c r="Q914"/>
    </row>
    <row r="915" spans="16:17" x14ac:dyDescent="0.25">
      <c r="P915"/>
      <c r="Q915"/>
    </row>
    <row r="916" spans="16:17" x14ac:dyDescent="0.25">
      <c r="P916"/>
      <c r="Q916"/>
    </row>
    <row r="917" spans="16:17" x14ac:dyDescent="0.25">
      <c r="P917"/>
      <c r="Q917"/>
    </row>
    <row r="918" spans="16:17" x14ac:dyDescent="0.25">
      <c r="P918"/>
      <c r="Q918"/>
    </row>
    <row r="919" spans="16:17" x14ac:dyDescent="0.25">
      <c r="P919"/>
      <c r="Q919"/>
    </row>
    <row r="920" spans="16:17" x14ac:dyDescent="0.25">
      <c r="P920"/>
      <c r="Q920"/>
    </row>
    <row r="921" spans="16:17" x14ac:dyDescent="0.25">
      <c r="P921"/>
      <c r="Q921"/>
    </row>
    <row r="922" spans="16:17" x14ac:dyDescent="0.25">
      <c r="P922"/>
      <c r="Q922"/>
    </row>
    <row r="923" spans="16:17" x14ac:dyDescent="0.25">
      <c r="P923"/>
      <c r="Q923"/>
    </row>
    <row r="924" spans="16:17" x14ac:dyDescent="0.25">
      <c r="P924"/>
      <c r="Q924"/>
    </row>
    <row r="925" spans="16:17" x14ac:dyDescent="0.25">
      <c r="P925"/>
      <c r="Q925"/>
    </row>
    <row r="926" spans="16:17" x14ac:dyDescent="0.25">
      <c r="P926"/>
      <c r="Q926"/>
    </row>
    <row r="927" spans="16:17" x14ac:dyDescent="0.25">
      <c r="P927"/>
      <c r="Q927"/>
    </row>
    <row r="928" spans="16:17" x14ac:dyDescent="0.25">
      <c r="P928"/>
      <c r="Q928"/>
    </row>
    <row r="929" spans="16:17" x14ac:dyDescent="0.25">
      <c r="P929"/>
      <c r="Q929"/>
    </row>
    <row r="930" spans="16:17" x14ac:dyDescent="0.25">
      <c r="P930"/>
      <c r="Q930"/>
    </row>
    <row r="931" spans="16:17" x14ac:dyDescent="0.25">
      <c r="P931"/>
      <c r="Q931"/>
    </row>
    <row r="932" spans="16:17" x14ac:dyDescent="0.25">
      <c r="P932"/>
      <c r="Q932"/>
    </row>
    <row r="933" spans="16:17" x14ac:dyDescent="0.25">
      <c r="P933"/>
      <c r="Q933"/>
    </row>
    <row r="934" spans="16:17" x14ac:dyDescent="0.25">
      <c r="P934"/>
      <c r="Q934"/>
    </row>
    <row r="935" spans="16:17" x14ac:dyDescent="0.25">
      <c r="P935"/>
      <c r="Q935"/>
    </row>
    <row r="936" spans="16:17" x14ac:dyDescent="0.25">
      <c r="P936"/>
      <c r="Q936"/>
    </row>
    <row r="937" spans="16:17" x14ac:dyDescent="0.25">
      <c r="P937"/>
      <c r="Q937"/>
    </row>
    <row r="938" spans="16:17" x14ac:dyDescent="0.25">
      <c r="P938"/>
      <c r="Q938"/>
    </row>
    <row r="939" spans="16:17" x14ac:dyDescent="0.25">
      <c r="P939"/>
      <c r="Q939"/>
    </row>
    <row r="940" spans="16:17" x14ac:dyDescent="0.25">
      <c r="P940"/>
      <c r="Q940"/>
    </row>
    <row r="941" spans="16:17" x14ac:dyDescent="0.25">
      <c r="P941"/>
      <c r="Q941"/>
    </row>
    <row r="942" spans="16:17" x14ac:dyDescent="0.25">
      <c r="P942"/>
      <c r="Q942"/>
    </row>
    <row r="943" spans="16:17" x14ac:dyDescent="0.25">
      <c r="P943"/>
      <c r="Q943"/>
    </row>
    <row r="944" spans="16:17" x14ac:dyDescent="0.25">
      <c r="P944"/>
      <c r="Q944"/>
    </row>
    <row r="945" spans="16:17" x14ac:dyDescent="0.25">
      <c r="P945"/>
      <c r="Q945"/>
    </row>
    <row r="946" spans="16:17" x14ac:dyDescent="0.25">
      <c r="P946"/>
      <c r="Q946"/>
    </row>
    <row r="947" spans="16:17" x14ac:dyDescent="0.25">
      <c r="P947"/>
      <c r="Q947"/>
    </row>
    <row r="948" spans="16:17" x14ac:dyDescent="0.25">
      <c r="P948"/>
      <c r="Q948"/>
    </row>
    <row r="949" spans="16:17" x14ac:dyDescent="0.25">
      <c r="P949"/>
      <c r="Q949"/>
    </row>
    <row r="950" spans="16:17" x14ac:dyDescent="0.25">
      <c r="P950"/>
      <c r="Q950"/>
    </row>
    <row r="951" spans="16:17" x14ac:dyDescent="0.25">
      <c r="P951"/>
      <c r="Q951"/>
    </row>
    <row r="952" spans="16:17" x14ac:dyDescent="0.25">
      <c r="P952"/>
      <c r="Q952"/>
    </row>
    <row r="953" spans="16:17" x14ac:dyDescent="0.25">
      <c r="P953"/>
      <c r="Q953"/>
    </row>
    <row r="954" spans="16:17" x14ac:dyDescent="0.25">
      <c r="P954"/>
      <c r="Q954"/>
    </row>
    <row r="955" spans="16:17" x14ac:dyDescent="0.25">
      <c r="P955"/>
      <c r="Q955"/>
    </row>
    <row r="956" spans="16:17" x14ac:dyDescent="0.25">
      <c r="P956"/>
      <c r="Q956"/>
    </row>
    <row r="957" spans="16:17" x14ac:dyDescent="0.25">
      <c r="P957"/>
      <c r="Q957"/>
    </row>
    <row r="958" spans="16:17" x14ac:dyDescent="0.25">
      <c r="P958"/>
      <c r="Q958"/>
    </row>
    <row r="959" spans="16:17" x14ac:dyDescent="0.25">
      <c r="P959"/>
      <c r="Q959"/>
    </row>
    <row r="960" spans="16:17" x14ac:dyDescent="0.25">
      <c r="P960"/>
      <c r="Q960"/>
    </row>
    <row r="961" spans="16:17" x14ac:dyDescent="0.25">
      <c r="P961"/>
      <c r="Q961"/>
    </row>
    <row r="962" spans="16:17" x14ac:dyDescent="0.25">
      <c r="P962"/>
      <c r="Q962"/>
    </row>
    <row r="963" spans="16:17" x14ac:dyDescent="0.25">
      <c r="P963"/>
      <c r="Q963"/>
    </row>
    <row r="964" spans="16:17" x14ac:dyDescent="0.25">
      <c r="P964"/>
      <c r="Q964"/>
    </row>
    <row r="965" spans="16:17" x14ac:dyDescent="0.25">
      <c r="P965"/>
      <c r="Q965"/>
    </row>
    <row r="966" spans="16:17" x14ac:dyDescent="0.25">
      <c r="P966"/>
      <c r="Q966"/>
    </row>
    <row r="967" spans="16:17" x14ac:dyDescent="0.25">
      <c r="P967"/>
      <c r="Q967"/>
    </row>
    <row r="968" spans="16:17" x14ac:dyDescent="0.25">
      <c r="P968"/>
      <c r="Q968"/>
    </row>
    <row r="969" spans="16:17" x14ac:dyDescent="0.25">
      <c r="P969"/>
      <c r="Q969"/>
    </row>
    <row r="970" spans="16:17" x14ac:dyDescent="0.25">
      <c r="P970"/>
      <c r="Q970"/>
    </row>
    <row r="971" spans="16:17" x14ac:dyDescent="0.25">
      <c r="P971"/>
      <c r="Q971"/>
    </row>
    <row r="972" spans="16:17" x14ac:dyDescent="0.25">
      <c r="P972"/>
      <c r="Q972"/>
    </row>
    <row r="973" spans="16:17" x14ac:dyDescent="0.25">
      <c r="P973"/>
      <c r="Q973"/>
    </row>
    <row r="974" spans="16:17" x14ac:dyDescent="0.25">
      <c r="P974"/>
      <c r="Q974"/>
    </row>
    <row r="975" spans="16:17" x14ac:dyDescent="0.25">
      <c r="P975"/>
      <c r="Q975"/>
    </row>
    <row r="976" spans="16:17" x14ac:dyDescent="0.25">
      <c r="P976"/>
      <c r="Q976"/>
    </row>
    <row r="977" spans="16:17" x14ac:dyDescent="0.25">
      <c r="P977"/>
      <c r="Q977"/>
    </row>
    <row r="978" spans="16:17" x14ac:dyDescent="0.25">
      <c r="P978"/>
      <c r="Q978"/>
    </row>
    <row r="979" spans="16:17" x14ac:dyDescent="0.25">
      <c r="P979"/>
      <c r="Q979"/>
    </row>
    <row r="980" spans="16:17" x14ac:dyDescent="0.25">
      <c r="P980"/>
      <c r="Q980"/>
    </row>
    <row r="981" spans="16:17" x14ac:dyDescent="0.25">
      <c r="P981"/>
      <c r="Q981"/>
    </row>
    <row r="982" spans="16:17" x14ac:dyDescent="0.25">
      <c r="P982"/>
      <c r="Q982"/>
    </row>
    <row r="983" spans="16:17" x14ac:dyDescent="0.25">
      <c r="P983"/>
      <c r="Q983"/>
    </row>
    <row r="984" spans="16:17" x14ac:dyDescent="0.25">
      <c r="P984"/>
      <c r="Q984"/>
    </row>
    <row r="985" spans="16:17" x14ac:dyDescent="0.25">
      <c r="P985"/>
      <c r="Q985"/>
    </row>
    <row r="986" spans="16:17" x14ac:dyDescent="0.25">
      <c r="P986"/>
      <c r="Q986"/>
    </row>
    <row r="987" spans="16:17" x14ac:dyDescent="0.25">
      <c r="P987"/>
      <c r="Q987"/>
    </row>
    <row r="988" spans="16:17" x14ac:dyDescent="0.25">
      <c r="P988"/>
      <c r="Q988"/>
    </row>
    <row r="989" spans="16:17" x14ac:dyDescent="0.25">
      <c r="P989"/>
      <c r="Q989"/>
    </row>
    <row r="990" spans="16:17" x14ac:dyDescent="0.25">
      <c r="P990"/>
      <c r="Q990"/>
    </row>
    <row r="991" spans="16:17" x14ac:dyDescent="0.25">
      <c r="P991"/>
      <c r="Q991"/>
    </row>
    <row r="992" spans="16:17" x14ac:dyDescent="0.25">
      <c r="P992"/>
      <c r="Q992"/>
    </row>
    <row r="993" spans="16:17" x14ac:dyDescent="0.25">
      <c r="P993"/>
      <c r="Q993"/>
    </row>
    <row r="994" spans="16:17" x14ac:dyDescent="0.25">
      <c r="P994"/>
      <c r="Q994"/>
    </row>
    <row r="995" spans="16:17" x14ac:dyDescent="0.25">
      <c r="P995"/>
      <c r="Q995"/>
    </row>
    <row r="996" spans="16:17" x14ac:dyDescent="0.25">
      <c r="P996"/>
      <c r="Q996"/>
    </row>
    <row r="997" spans="16:17" x14ac:dyDescent="0.25">
      <c r="P997"/>
      <c r="Q997"/>
    </row>
    <row r="998" spans="16:17" x14ac:dyDescent="0.25">
      <c r="P998"/>
      <c r="Q998"/>
    </row>
    <row r="999" spans="16:17" x14ac:dyDescent="0.25">
      <c r="P999"/>
      <c r="Q999"/>
    </row>
    <row r="1000" spans="16:17" x14ac:dyDescent="0.25">
      <c r="P1000"/>
      <c r="Q1000"/>
    </row>
    <row r="1001" spans="16:17" x14ac:dyDescent="0.25">
      <c r="P1001"/>
      <c r="Q1001"/>
    </row>
    <row r="1002" spans="16:17" x14ac:dyDescent="0.25">
      <c r="P1002"/>
      <c r="Q1002"/>
    </row>
    <row r="1003" spans="16:17" x14ac:dyDescent="0.25">
      <c r="P1003"/>
      <c r="Q1003"/>
    </row>
    <row r="1004" spans="16:17" x14ac:dyDescent="0.25">
      <c r="P1004"/>
      <c r="Q1004"/>
    </row>
    <row r="1005" spans="16:17" x14ac:dyDescent="0.25">
      <c r="P1005"/>
      <c r="Q1005"/>
    </row>
    <row r="1006" spans="16:17" x14ac:dyDescent="0.25">
      <c r="P1006"/>
      <c r="Q1006"/>
    </row>
    <row r="1007" spans="16:17" x14ac:dyDescent="0.25">
      <c r="P1007"/>
      <c r="Q1007"/>
    </row>
    <row r="1008" spans="16:17" x14ac:dyDescent="0.25">
      <c r="P1008"/>
      <c r="Q1008"/>
    </row>
    <row r="1009" spans="16:17" x14ac:dyDescent="0.25">
      <c r="P1009"/>
      <c r="Q1009"/>
    </row>
    <row r="1010" spans="16:17" x14ac:dyDescent="0.25">
      <c r="P1010"/>
      <c r="Q1010"/>
    </row>
    <row r="1011" spans="16:17" x14ac:dyDescent="0.25">
      <c r="P1011"/>
      <c r="Q1011"/>
    </row>
    <row r="1012" spans="16:17" x14ac:dyDescent="0.25">
      <c r="P1012"/>
      <c r="Q1012"/>
    </row>
    <row r="1013" spans="16:17" x14ac:dyDescent="0.25">
      <c r="P1013"/>
      <c r="Q1013"/>
    </row>
    <row r="1014" spans="16:17" x14ac:dyDescent="0.25">
      <c r="P1014"/>
      <c r="Q1014"/>
    </row>
    <row r="1015" spans="16:17" x14ac:dyDescent="0.25">
      <c r="P1015"/>
      <c r="Q1015"/>
    </row>
    <row r="1016" spans="16:17" x14ac:dyDescent="0.25">
      <c r="P1016"/>
      <c r="Q1016"/>
    </row>
    <row r="1017" spans="16:17" x14ac:dyDescent="0.25">
      <c r="P1017"/>
      <c r="Q1017"/>
    </row>
    <row r="1018" spans="16:17" x14ac:dyDescent="0.25">
      <c r="P1018"/>
      <c r="Q1018"/>
    </row>
    <row r="1019" spans="16:17" x14ac:dyDescent="0.25">
      <c r="P1019"/>
      <c r="Q1019"/>
    </row>
    <row r="1020" spans="16:17" x14ac:dyDescent="0.25">
      <c r="P1020"/>
      <c r="Q1020"/>
    </row>
    <row r="1021" spans="16:17" x14ac:dyDescent="0.25">
      <c r="P1021"/>
      <c r="Q1021"/>
    </row>
    <row r="1022" spans="16:17" x14ac:dyDescent="0.25">
      <c r="P1022"/>
      <c r="Q1022"/>
    </row>
    <row r="1023" spans="16:17" x14ac:dyDescent="0.25">
      <c r="P1023"/>
      <c r="Q1023"/>
    </row>
    <row r="1024" spans="16:17" x14ac:dyDescent="0.25">
      <c r="P1024"/>
      <c r="Q1024"/>
    </row>
    <row r="1025" spans="16:17" x14ac:dyDescent="0.25">
      <c r="P1025"/>
      <c r="Q1025"/>
    </row>
    <row r="1026" spans="16:17" x14ac:dyDescent="0.25">
      <c r="P1026"/>
      <c r="Q1026"/>
    </row>
    <row r="1027" spans="16:17" x14ac:dyDescent="0.25">
      <c r="P1027"/>
      <c r="Q1027"/>
    </row>
    <row r="1028" spans="16:17" x14ac:dyDescent="0.25">
      <c r="P1028"/>
      <c r="Q1028"/>
    </row>
    <row r="1029" spans="16:17" x14ac:dyDescent="0.25">
      <c r="P1029"/>
      <c r="Q1029"/>
    </row>
    <row r="1030" spans="16:17" x14ac:dyDescent="0.25">
      <c r="P1030"/>
      <c r="Q1030"/>
    </row>
    <row r="1031" spans="16:17" x14ac:dyDescent="0.25">
      <c r="P1031"/>
      <c r="Q1031"/>
    </row>
    <row r="1032" spans="16:17" x14ac:dyDescent="0.25">
      <c r="P1032"/>
      <c r="Q1032"/>
    </row>
    <row r="1033" spans="16:17" x14ac:dyDescent="0.25">
      <c r="P1033"/>
      <c r="Q1033"/>
    </row>
    <row r="1034" spans="16:17" x14ac:dyDescent="0.25">
      <c r="P1034"/>
      <c r="Q1034"/>
    </row>
    <row r="1035" spans="16:17" x14ac:dyDescent="0.25">
      <c r="P1035"/>
      <c r="Q1035"/>
    </row>
    <row r="1036" spans="16:17" x14ac:dyDescent="0.25">
      <c r="P1036"/>
      <c r="Q1036"/>
    </row>
    <row r="1037" spans="16:17" x14ac:dyDescent="0.25">
      <c r="P1037"/>
      <c r="Q1037"/>
    </row>
    <row r="1038" spans="16:17" x14ac:dyDescent="0.25">
      <c r="P1038"/>
      <c r="Q1038"/>
    </row>
    <row r="1039" spans="16:17" x14ac:dyDescent="0.25">
      <c r="P1039"/>
      <c r="Q1039"/>
    </row>
    <row r="1040" spans="16:17" x14ac:dyDescent="0.25">
      <c r="P1040"/>
      <c r="Q1040"/>
    </row>
    <row r="1041" spans="16:17" x14ac:dyDescent="0.25">
      <c r="P1041"/>
      <c r="Q1041"/>
    </row>
    <row r="1042" spans="16:17" x14ac:dyDescent="0.25">
      <c r="P1042"/>
      <c r="Q1042"/>
    </row>
    <row r="1043" spans="16:17" x14ac:dyDescent="0.25">
      <c r="P1043"/>
      <c r="Q1043"/>
    </row>
    <row r="1044" spans="16:17" x14ac:dyDescent="0.25">
      <c r="P1044"/>
      <c r="Q1044"/>
    </row>
    <row r="1045" spans="16:17" x14ac:dyDescent="0.25">
      <c r="P1045"/>
      <c r="Q1045"/>
    </row>
    <row r="1046" spans="16:17" x14ac:dyDescent="0.25">
      <c r="P1046"/>
      <c r="Q1046"/>
    </row>
    <row r="1047" spans="16:17" x14ac:dyDescent="0.25">
      <c r="P1047"/>
      <c r="Q1047"/>
    </row>
    <row r="1048" spans="16:17" x14ac:dyDescent="0.25">
      <c r="P1048"/>
      <c r="Q1048"/>
    </row>
    <row r="1049" spans="16:17" x14ac:dyDescent="0.25">
      <c r="P1049"/>
      <c r="Q1049"/>
    </row>
    <row r="1050" spans="16:17" x14ac:dyDescent="0.25">
      <c r="P1050"/>
      <c r="Q1050"/>
    </row>
    <row r="1051" spans="16:17" x14ac:dyDescent="0.25">
      <c r="P1051"/>
      <c r="Q1051"/>
    </row>
    <row r="1052" spans="16:17" x14ac:dyDescent="0.25">
      <c r="P1052"/>
      <c r="Q1052"/>
    </row>
    <row r="1053" spans="16:17" x14ac:dyDescent="0.25">
      <c r="P1053"/>
      <c r="Q1053"/>
    </row>
    <row r="1054" spans="16:17" x14ac:dyDescent="0.25">
      <c r="P1054"/>
      <c r="Q1054"/>
    </row>
    <row r="1055" spans="16:17" x14ac:dyDescent="0.25">
      <c r="P1055"/>
      <c r="Q1055"/>
    </row>
    <row r="1056" spans="16:17" x14ac:dyDescent="0.25">
      <c r="P1056"/>
      <c r="Q1056"/>
    </row>
    <row r="1057" spans="16:17" x14ac:dyDescent="0.25">
      <c r="P1057"/>
      <c r="Q1057"/>
    </row>
    <row r="1058" spans="16:17" x14ac:dyDescent="0.25">
      <c r="P1058"/>
      <c r="Q1058"/>
    </row>
    <row r="1059" spans="16:17" x14ac:dyDescent="0.25">
      <c r="P1059"/>
      <c r="Q1059"/>
    </row>
    <row r="1060" spans="16:17" x14ac:dyDescent="0.25">
      <c r="P1060"/>
      <c r="Q1060"/>
    </row>
    <row r="1061" spans="16:17" x14ac:dyDescent="0.25">
      <c r="P1061"/>
      <c r="Q1061"/>
    </row>
    <row r="1062" spans="16:17" x14ac:dyDescent="0.25">
      <c r="P1062"/>
      <c r="Q1062"/>
    </row>
    <row r="1063" spans="16:17" x14ac:dyDescent="0.25">
      <c r="P1063"/>
      <c r="Q1063"/>
    </row>
    <row r="1064" spans="16:17" x14ac:dyDescent="0.25">
      <c r="P1064"/>
      <c r="Q1064"/>
    </row>
    <row r="1065" spans="16:17" x14ac:dyDescent="0.25">
      <c r="P1065"/>
      <c r="Q1065"/>
    </row>
    <row r="1066" spans="16:17" x14ac:dyDescent="0.25">
      <c r="P1066"/>
      <c r="Q1066"/>
    </row>
    <row r="1067" spans="16:17" x14ac:dyDescent="0.25">
      <c r="P1067"/>
      <c r="Q1067"/>
    </row>
    <row r="1068" spans="16:17" x14ac:dyDescent="0.25">
      <c r="P1068"/>
      <c r="Q1068"/>
    </row>
    <row r="1069" spans="16:17" x14ac:dyDescent="0.25">
      <c r="P1069"/>
      <c r="Q1069"/>
    </row>
    <row r="1070" spans="16:17" x14ac:dyDescent="0.25">
      <c r="P1070"/>
      <c r="Q1070"/>
    </row>
    <row r="1071" spans="16:17" x14ac:dyDescent="0.25">
      <c r="P1071"/>
      <c r="Q1071"/>
    </row>
    <row r="1072" spans="16:17" x14ac:dyDescent="0.25">
      <c r="P1072"/>
      <c r="Q1072"/>
    </row>
    <row r="1073" spans="16:17" x14ac:dyDescent="0.25">
      <c r="P1073"/>
      <c r="Q1073"/>
    </row>
    <row r="1074" spans="16:17" x14ac:dyDescent="0.25">
      <c r="P1074"/>
      <c r="Q1074"/>
    </row>
    <row r="1075" spans="16:17" x14ac:dyDescent="0.25">
      <c r="P1075"/>
      <c r="Q1075"/>
    </row>
    <row r="1076" spans="16:17" x14ac:dyDescent="0.25">
      <c r="P1076"/>
      <c r="Q1076"/>
    </row>
    <row r="1077" spans="16:17" x14ac:dyDescent="0.25">
      <c r="P1077"/>
      <c r="Q1077"/>
    </row>
    <row r="1078" spans="16:17" x14ac:dyDescent="0.25">
      <c r="P1078"/>
      <c r="Q1078"/>
    </row>
    <row r="1079" spans="16:17" x14ac:dyDescent="0.25">
      <c r="P1079"/>
      <c r="Q1079"/>
    </row>
    <row r="1080" spans="16:17" x14ac:dyDescent="0.25">
      <c r="P1080"/>
      <c r="Q1080"/>
    </row>
    <row r="1081" spans="16:17" x14ac:dyDescent="0.25">
      <c r="P1081"/>
      <c r="Q1081"/>
    </row>
    <row r="1082" spans="16:17" x14ac:dyDescent="0.25">
      <c r="P1082"/>
      <c r="Q1082"/>
    </row>
    <row r="1083" spans="16:17" x14ac:dyDescent="0.25">
      <c r="P1083"/>
      <c r="Q1083"/>
    </row>
    <row r="1084" spans="16:17" x14ac:dyDescent="0.25">
      <c r="P1084"/>
      <c r="Q1084"/>
    </row>
    <row r="1085" spans="16:17" x14ac:dyDescent="0.25">
      <c r="P1085"/>
      <c r="Q1085"/>
    </row>
    <row r="1086" spans="16:17" x14ac:dyDescent="0.25">
      <c r="P1086"/>
      <c r="Q1086"/>
    </row>
    <row r="1087" spans="16:17" x14ac:dyDescent="0.25">
      <c r="P1087"/>
      <c r="Q1087"/>
    </row>
    <row r="1088" spans="16:17" x14ac:dyDescent="0.25">
      <c r="P1088"/>
      <c r="Q1088"/>
    </row>
    <row r="1089" spans="16:17" x14ac:dyDescent="0.25">
      <c r="P1089"/>
      <c r="Q1089"/>
    </row>
    <row r="1090" spans="16:17" x14ac:dyDescent="0.25">
      <c r="P1090"/>
      <c r="Q1090"/>
    </row>
    <row r="1091" spans="16:17" x14ac:dyDescent="0.25">
      <c r="P1091"/>
      <c r="Q1091"/>
    </row>
    <row r="1092" spans="16:17" x14ac:dyDescent="0.25">
      <c r="P1092"/>
      <c r="Q1092"/>
    </row>
    <row r="1093" spans="16:17" x14ac:dyDescent="0.25">
      <c r="P1093"/>
      <c r="Q1093"/>
    </row>
    <row r="1094" spans="16:17" x14ac:dyDescent="0.25">
      <c r="P1094"/>
      <c r="Q1094"/>
    </row>
    <row r="1095" spans="16:17" x14ac:dyDescent="0.25">
      <c r="P1095"/>
      <c r="Q1095"/>
    </row>
    <row r="1096" spans="16:17" x14ac:dyDescent="0.25">
      <c r="P1096"/>
      <c r="Q1096"/>
    </row>
    <row r="1097" spans="16:17" x14ac:dyDescent="0.25">
      <c r="P1097"/>
      <c r="Q1097"/>
    </row>
    <row r="1098" spans="16:17" x14ac:dyDescent="0.25">
      <c r="P1098"/>
      <c r="Q1098"/>
    </row>
    <row r="1099" spans="16:17" x14ac:dyDescent="0.25">
      <c r="P1099"/>
      <c r="Q1099"/>
    </row>
    <row r="1100" spans="16:17" x14ac:dyDescent="0.25">
      <c r="P1100"/>
      <c r="Q1100"/>
    </row>
    <row r="1101" spans="16:17" x14ac:dyDescent="0.25">
      <c r="P1101"/>
      <c r="Q1101"/>
    </row>
    <row r="1102" spans="16:17" x14ac:dyDescent="0.25">
      <c r="P1102"/>
      <c r="Q1102"/>
    </row>
    <row r="1103" spans="16:17" x14ac:dyDescent="0.25">
      <c r="P1103"/>
      <c r="Q1103"/>
    </row>
    <row r="1104" spans="16:17" x14ac:dyDescent="0.25">
      <c r="P1104"/>
      <c r="Q1104"/>
    </row>
    <row r="1105" spans="16:17" x14ac:dyDescent="0.25">
      <c r="P1105"/>
      <c r="Q1105"/>
    </row>
    <row r="1106" spans="16:17" x14ac:dyDescent="0.25">
      <c r="P1106"/>
      <c r="Q1106"/>
    </row>
    <row r="1107" spans="16:17" x14ac:dyDescent="0.25">
      <c r="P1107"/>
      <c r="Q1107"/>
    </row>
    <row r="1108" spans="16:17" x14ac:dyDescent="0.25">
      <c r="P1108"/>
      <c r="Q1108"/>
    </row>
    <row r="1109" spans="16:17" x14ac:dyDescent="0.25">
      <c r="P1109"/>
      <c r="Q1109"/>
    </row>
    <row r="1110" spans="16:17" x14ac:dyDescent="0.25">
      <c r="P1110"/>
      <c r="Q1110"/>
    </row>
    <row r="1111" spans="16:17" x14ac:dyDescent="0.25">
      <c r="P1111"/>
      <c r="Q1111"/>
    </row>
    <row r="1112" spans="16:17" x14ac:dyDescent="0.25">
      <c r="P1112"/>
      <c r="Q1112"/>
    </row>
    <row r="1113" spans="16:17" x14ac:dyDescent="0.25">
      <c r="P1113"/>
      <c r="Q1113"/>
    </row>
    <row r="1114" spans="16:17" x14ac:dyDescent="0.25">
      <c r="P1114"/>
      <c r="Q1114"/>
    </row>
    <row r="1115" spans="16:17" x14ac:dyDescent="0.25">
      <c r="P1115"/>
      <c r="Q1115"/>
    </row>
    <row r="1116" spans="16:17" x14ac:dyDescent="0.25">
      <c r="P1116"/>
      <c r="Q1116"/>
    </row>
    <row r="1117" spans="16:17" x14ac:dyDescent="0.25">
      <c r="P1117"/>
      <c r="Q1117"/>
    </row>
    <row r="1118" spans="16:17" x14ac:dyDescent="0.25">
      <c r="P1118"/>
      <c r="Q1118"/>
    </row>
    <row r="1119" spans="16:17" x14ac:dyDescent="0.25">
      <c r="P1119"/>
      <c r="Q1119"/>
    </row>
    <row r="1120" spans="16:17" x14ac:dyDescent="0.25">
      <c r="P1120"/>
      <c r="Q1120"/>
    </row>
    <row r="1121" spans="16:17" x14ac:dyDescent="0.25">
      <c r="P1121"/>
      <c r="Q1121"/>
    </row>
    <row r="1122" spans="16:17" x14ac:dyDescent="0.25">
      <c r="P1122"/>
      <c r="Q1122"/>
    </row>
    <row r="1123" spans="16:17" x14ac:dyDescent="0.25">
      <c r="P1123"/>
      <c r="Q1123"/>
    </row>
    <row r="1124" spans="16:17" x14ac:dyDescent="0.25">
      <c r="P1124"/>
      <c r="Q1124"/>
    </row>
    <row r="1125" spans="16:17" x14ac:dyDescent="0.25">
      <c r="P1125"/>
      <c r="Q1125"/>
    </row>
    <row r="1126" spans="16:17" x14ac:dyDescent="0.25">
      <c r="P1126"/>
      <c r="Q1126"/>
    </row>
    <row r="1127" spans="16:17" x14ac:dyDescent="0.25">
      <c r="P1127"/>
      <c r="Q1127"/>
    </row>
    <row r="1128" spans="16:17" x14ac:dyDescent="0.25">
      <c r="P1128"/>
      <c r="Q1128"/>
    </row>
    <row r="1129" spans="16:17" x14ac:dyDescent="0.25">
      <c r="P1129"/>
      <c r="Q1129"/>
    </row>
    <row r="1130" spans="16:17" x14ac:dyDescent="0.25">
      <c r="P1130"/>
      <c r="Q1130"/>
    </row>
    <row r="1131" spans="16:17" x14ac:dyDescent="0.25">
      <c r="P1131"/>
      <c r="Q1131"/>
    </row>
    <row r="1132" spans="16:17" x14ac:dyDescent="0.25">
      <c r="P1132"/>
      <c r="Q1132"/>
    </row>
    <row r="1133" spans="16:17" x14ac:dyDescent="0.25">
      <c r="P1133"/>
      <c r="Q1133"/>
    </row>
    <row r="1134" spans="16:17" x14ac:dyDescent="0.25">
      <c r="P1134"/>
      <c r="Q1134"/>
    </row>
    <row r="1135" spans="16:17" x14ac:dyDescent="0.25">
      <c r="P1135"/>
      <c r="Q1135"/>
    </row>
    <row r="1136" spans="16:17" x14ac:dyDescent="0.25">
      <c r="P1136"/>
      <c r="Q1136"/>
    </row>
    <row r="1137" spans="16:17" x14ac:dyDescent="0.25">
      <c r="P1137"/>
      <c r="Q1137"/>
    </row>
    <row r="1138" spans="16:17" x14ac:dyDescent="0.25">
      <c r="P1138"/>
      <c r="Q1138"/>
    </row>
    <row r="1139" spans="16:17" x14ac:dyDescent="0.25">
      <c r="P1139"/>
      <c r="Q1139"/>
    </row>
    <row r="1140" spans="16:17" x14ac:dyDescent="0.25">
      <c r="P1140"/>
      <c r="Q1140"/>
    </row>
    <row r="1141" spans="16:17" x14ac:dyDescent="0.25">
      <c r="P1141"/>
      <c r="Q1141"/>
    </row>
    <row r="1142" spans="16:17" x14ac:dyDescent="0.25">
      <c r="P1142"/>
      <c r="Q1142"/>
    </row>
    <row r="1143" spans="16:17" x14ac:dyDescent="0.25">
      <c r="P1143"/>
      <c r="Q1143"/>
    </row>
    <row r="1144" spans="16:17" x14ac:dyDescent="0.25">
      <c r="P1144"/>
      <c r="Q1144"/>
    </row>
    <row r="1145" spans="16:17" x14ac:dyDescent="0.25">
      <c r="P1145"/>
      <c r="Q1145"/>
    </row>
    <row r="1146" spans="16:17" x14ac:dyDescent="0.25">
      <c r="P1146"/>
      <c r="Q1146"/>
    </row>
    <row r="1147" spans="16:17" x14ac:dyDescent="0.25">
      <c r="P1147"/>
      <c r="Q1147"/>
    </row>
    <row r="1148" spans="16:17" x14ac:dyDescent="0.25">
      <c r="P1148"/>
      <c r="Q1148"/>
    </row>
    <row r="1149" spans="16:17" x14ac:dyDescent="0.25">
      <c r="P1149"/>
      <c r="Q1149"/>
    </row>
    <row r="1150" spans="16:17" x14ac:dyDescent="0.25">
      <c r="P1150"/>
      <c r="Q1150"/>
    </row>
    <row r="1151" spans="16:17" x14ac:dyDescent="0.25">
      <c r="P1151"/>
      <c r="Q1151"/>
    </row>
    <row r="1152" spans="16:17" x14ac:dyDescent="0.25">
      <c r="P1152"/>
      <c r="Q1152"/>
    </row>
    <row r="1153" spans="16:17" x14ac:dyDescent="0.25">
      <c r="P1153"/>
      <c r="Q1153"/>
    </row>
    <row r="1154" spans="16:17" x14ac:dyDescent="0.25">
      <c r="P1154"/>
      <c r="Q1154"/>
    </row>
    <row r="1155" spans="16:17" x14ac:dyDescent="0.25">
      <c r="P1155"/>
      <c r="Q1155"/>
    </row>
    <row r="1156" spans="16:17" x14ac:dyDescent="0.25">
      <c r="P1156"/>
      <c r="Q1156"/>
    </row>
    <row r="1157" spans="16:17" x14ac:dyDescent="0.25">
      <c r="P1157"/>
      <c r="Q1157"/>
    </row>
    <row r="1158" spans="16:17" x14ac:dyDescent="0.25">
      <c r="P1158"/>
      <c r="Q1158"/>
    </row>
    <row r="1159" spans="16:17" x14ac:dyDescent="0.25">
      <c r="P1159"/>
      <c r="Q1159"/>
    </row>
    <row r="1160" spans="16:17" x14ac:dyDescent="0.25">
      <c r="P1160"/>
      <c r="Q1160"/>
    </row>
    <row r="1161" spans="16:17" x14ac:dyDescent="0.25">
      <c r="P1161"/>
      <c r="Q1161"/>
    </row>
    <row r="1162" spans="16:17" x14ac:dyDescent="0.25">
      <c r="P1162"/>
      <c r="Q1162"/>
    </row>
    <row r="1163" spans="16:17" x14ac:dyDescent="0.25">
      <c r="P1163"/>
      <c r="Q1163"/>
    </row>
    <row r="1164" spans="16:17" x14ac:dyDescent="0.25">
      <c r="P1164"/>
      <c r="Q1164"/>
    </row>
    <row r="1165" spans="16:17" x14ac:dyDescent="0.25">
      <c r="P1165"/>
      <c r="Q1165"/>
    </row>
    <row r="1166" spans="16:17" x14ac:dyDescent="0.25">
      <c r="P1166"/>
      <c r="Q1166"/>
    </row>
    <row r="1167" spans="16:17" x14ac:dyDescent="0.25">
      <c r="P1167"/>
      <c r="Q1167"/>
    </row>
    <row r="1168" spans="16:17" x14ac:dyDescent="0.25">
      <c r="P1168"/>
      <c r="Q1168"/>
    </row>
    <row r="1169" spans="16:17" x14ac:dyDescent="0.25">
      <c r="P1169"/>
      <c r="Q1169"/>
    </row>
    <row r="1170" spans="16:17" x14ac:dyDescent="0.25">
      <c r="P1170"/>
      <c r="Q1170"/>
    </row>
    <row r="1171" spans="16:17" x14ac:dyDescent="0.25">
      <c r="P1171"/>
      <c r="Q1171"/>
    </row>
    <row r="1172" spans="16:17" x14ac:dyDescent="0.25">
      <c r="P1172"/>
      <c r="Q1172"/>
    </row>
    <row r="1173" spans="16:17" x14ac:dyDescent="0.25">
      <c r="P1173"/>
      <c r="Q1173"/>
    </row>
    <row r="1174" spans="16:17" x14ac:dyDescent="0.25">
      <c r="P1174"/>
      <c r="Q1174"/>
    </row>
    <row r="1175" spans="16:17" x14ac:dyDescent="0.25">
      <c r="P1175"/>
      <c r="Q1175"/>
    </row>
    <row r="1176" spans="16:17" x14ac:dyDescent="0.25">
      <c r="P1176"/>
      <c r="Q1176"/>
    </row>
    <row r="1177" spans="16:17" x14ac:dyDescent="0.25">
      <c r="P1177"/>
      <c r="Q1177"/>
    </row>
    <row r="1178" spans="16:17" x14ac:dyDescent="0.25">
      <c r="P1178"/>
      <c r="Q1178"/>
    </row>
    <row r="1179" spans="16:17" x14ac:dyDescent="0.25">
      <c r="P1179"/>
      <c r="Q1179"/>
    </row>
    <row r="1180" spans="16:17" x14ac:dyDescent="0.25">
      <c r="P1180"/>
      <c r="Q1180"/>
    </row>
    <row r="1181" spans="16:17" x14ac:dyDescent="0.25">
      <c r="P1181"/>
      <c r="Q1181"/>
    </row>
    <row r="1182" spans="16:17" x14ac:dyDescent="0.25">
      <c r="P1182"/>
      <c r="Q1182"/>
    </row>
    <row r="1183" spans="16:17" x14ac:dyDescent="0.25">
      <c r="P1183"/>
      <c r="Q1183"/>
    </row>
    <row r="1184" spans="16:17" x14ac:dyDescent="0.25">
      <c r="P1184"/>
      <c r="Q1184"/>
    </row>
    <row r="1185" spans="16:17" x14ac:dyDescent="0.25">
      <c r="P1185"/>
      <c r="Q1185"/>
    </row>
    <row r="1186" spans="16:17" x14ac:dyDescent="0.25">
      <c r="P1186"/>
      <c r="Q1186"/>
    </row>
    <row r="1187" spans="16:17" x14ac:dyDescent="0.25">
      <c r="P1187"/>
      <c r="Q1187"/>
    </row>
    <row r="1188" spans="16:17" x14ac:dyDescent="0.25">
      <c r="P1188"/>
      <c r="Q1188"/>
    </row>
    <row r="1189" spans="16:17" x14ac:dyDescent="0.25">
      <c r="P1189"/>
      <c r="Q1189"/>
    </row>
    <row r="1190" spans="16:17" x14ac:dyDescent="0.25">
      <c r="P1190"/>
      <c r="Q1190"/>
    </row>
    <row r="1191" spans="16:17" x14ac:dyDescent="0.25">
      <c r="P1191"/>
      <c r="Q1191"/>
    </row>
    <row r="1192" spans="16:17" x14ac:dyDescent="0.25">
      <c r="P1192"/>
      <c r="Q1192"/>
    </row>
    <row r="1193" spans="16:17" x14ac:dyDescent="0.25">
      <c r="P1193"/>
      <c r="Q1193"/>
    </row>
    <row r="1194" spans="16:17" x14ac:dyDescent="0.25">
      <c r="P1194"/>
      <c r="Q1194"/>
    </row>
    <row r="1195" spans="16:17" x14ac:dyDescent="0.25">
      <c r="P1195"/>
      <c r="Q1195"/>
    </row>
    <row r="1196" spans="16:17" x14ac:dyDescent="0.25">
      <c r="P1196"/>
      <c r="Q1196"/>
    </row>
    <row r="1197" spans="16:17" x14ac:dyDescent="0.25">
      <c r="P1197"/>
      <c r="Q1197"/>
    </row>
    <row r="1198" spans="16:17" x14ac:dyDescent="0.25">
      <c r="P1198"/>
      <c r="Q1198"/>
    </row>
    <row r="1199" spans="16:17" x14ac:dyDescent="0.25">
      <c r="P1199"/>
      <c r="Q1199"/>
    </row>
    <row r="1200" spans="16:17" x14ac:dyDescent="0.25">
      <c r="P1200"/>
      <c r="Q1200"/>
    </row>
    <row r="1201" spans="16:17" x14ac:dyDescent="0.25">
      <c r="P1201"/>
      <c r="Q1201"/>
    </row>
    <row r="1202" spans="16:17" x14ac:dyDescent="0.25">
      <c r="P1202"/>
      <c r="Q1202"/>
    </row>
    <row r="1203" spans="16:17" x14ac:dyDescent="0.25">
      <c r="P1203"/>
      <c r="Q1203"/>
    </row>
    <row r="1204" spans="16:17" x14ac:dyDescent="0.25">
      <c r="P1204"/>
      <c r="Q1204"/>
    </row>
    <row r="1205" spans="16:17" x14ac:dyDescent="0.25">
      <c r="P1205"/>
      <c r="Q1205"/>
    </row>
    <row r="1206" spans="16:17" x14ac:dyDescent="0.25">
      <c r="P1206"/>
      <c r="Q1206"/>
    </row>
    <row r="1207" spans="16:17" x14ac:dyDescent="0.25">
      <c r="P1207"/>
      <c r="Q1207"/>
    </row>
    <row r="1208" spans="16:17" x14ac:dyDescent="0.25">
      <c r="P1208"/>
      <c r="Q1208"/>
    </row>
    <row r="1209" spans="16:17" x14ac:dyDescent="0.25">
      <c r="P1209"/>
      <c r="Q1209"/>
    </row>
    <row r="1210" spans="16:17" x14ac:dyDescent="0.25">
      <c r="P1210"/>
      <c r="Q1210"/>
    </row>
    <row r="1211" spans="16:17" x14ac:dyDescent="0.25">
      <c r="P1211"/>
      <c r="Q1211"/>
    </row>
    <row r="1212" spans="16:17" x14ac:dyDescent="0.25">
      <c r="P1212"/>
      <c r="Q1212"/>
    </row>
    <row r="1213" spans="16:17" x14ac:dyDescent="0.25">
      <c r="P1213"/>
      <c r="Q1213"/>
    </row>
    <row r="1214" spans="16:17" x14ac:dyDescent="0.25">
      <c r="P1214"/>
      <c r="Q1214"/>
    </row>
    <row r="1215" spans="16:17" x14ac:dyDescent="0.25">
      <c r="P1215"/>
      <c r="Q1215"/>
    </row>
    <row r="1216" spans="16:17" x14ac:dyDescent="0.25">
      <c r="P1216"/>
      <c r="Q1216"/>
    </row>
    <row r="1217" spans="16:17" x14ac:dyDescent="0.25">
      <c r="P1217"/>
      <c r="Q1217"/>
    </row>
    <row r="1218" spans="16:17" x14ac:dyDescent="0.25">
      <c r="P1218"/>
      <c r="Q1218"/>
    </row>
    <row r="1219" spans="16:17" x14ac:dyDescent="0.25">
      <c r="P1219"/>
      <c r="Q1219"/>
    </row>
    <row r="1220" spans="16:17" x14ac:dyDescent="0.25">
      <c r="P1220"/>
      <c r="Q1220"/>
    </row>
    <row r="1221" spans="16:17" x14ac:dyDescent="0.25">
      <c r="P1221"/>
      <c r="Q1221"/>
    </row>
    <row r="1222" spans="16:17" x14ac:dyDescent="0.25">
      <c r="P1222"/>
      <c r="Q1222"/>
    </row>
    <row r="1223" spans="16:17" x14ac:dyDescent="0.25">
      <c r="P1223"/>
      <c r="Q1223"/>
    </row>
    <row r="1224" spans="16:17" x14ac:dyDescent="0.25">
      <c r="P1224"/>
      <c r="Q1224"/>
    </row>
    <row r="1225" spans="16:17" x14ac:dyDescent="0.25">
      <c r="P1225"/>
      <c r="Q1225"/>
    </row>
    <row r="1226" spans="16:17" x14ac:dyDescent="0.25">
      <c r="P1226"/>
      <c r="Q1226"/>
    </row>
    <row r="1227" spans="16:17" x14ac:dyDescent="0.25">
      <c r="P1227"/>
      <c r="Q1227"/>
    </row>
    <row r="1228" spans="16:17" x14ac:dyDescent="0.25">
      <c r="P1228"/>
      <c r="Q1228"/>
    </row>
    <row r="1229" spans="16:17" x14ac:dyDescent="0.25">
      <c r="P1229"/>
      <c r="Q1229"/>
    </row>
    <row r="1230" spans="16:17" x14ac:dyDescent="0.25">
      <c r="P1230"/>
      <c r="Q1230"/>
    </row>
    <row r="1231" spans="16:17" x14ac:dyDescent="0.25">
      <c r="P1231"/>
      <c r="Q1231"/>
    </row>
    <row r="1232" spans="16:17" x14ac:dyDescent="0.25">
      <c r="P1232"/>
      <c r="Q1232"/>
    </row>
    <row r="1233" spans="16:17" x14ac:dyDescent="0.25">
      <c r="P1233"/>
      <c r="Q1233"/>
    </row>
    <row r="1234" spans="16:17" x14ac:dyDescent="0.25">
      <c r="P1234"/>
      <c r="Q1234"/>
    </row>
    <row r="1235" spans="16:17" x14ac:dyDescent="0.25">
      <c r="P1235"/>
      <c r="Q1235"/>
    </row>
    <row r="1236" spans="16:17" x14ac:dyDescent="0.25">
      <c r="P1236"/>
      <c r="Q1236"/>
    </row>
    <row r="1237" spans="16:17" x14ac:dyDescent="0.25">
      <c r="P1237"/>
      <c r="Q1237"/>
    </row>
    <row r="1238" spans="16:17" x14ac:dyDescent="0.25">
      <c r="P1238"/>
      <c r="Q1238"/>
    </row>
    <row r="1239" spans="16:17" x14ac:dyDescent="0.25">
      <c r="P1239"/>
      <c r="Q1239"/>
    </row>
    <row r="1240" spans="16:17" x14ac:dyDescent="0.25">
      <c r="P1240"/>
      <c r="Q1240"/>
    </row>
    <row r="1241" spans="16:17" x14ac:dyDescent="0.25">
      <c r="P1241"/>
      <c r="Q1241"/>
    </row>
    <row r="1242" spans="16:17" x14ac:dyDescent="0.25">
      <c r="P1242"/>
      <c r="Q1242"/>
    </row>
    <row r="1243" spans="16:17" x14ac:dyDescent="0.25">
      <c r="P1243"/>
      <c r="Q1243"/>
    </row>
    <row r="1244" spans="16:17" x14ac:dyDescent="0.25">
      <c r="P1244"/>
      <c r="Q1244"/>
    </row>
    <row r="1245" spans="16:17" x14ac:dyDescent="0.25">
      <c r="P1245"/>
      <c r="Q1245"/>
    </row>
    <row r="1246" spans="16:17" x14ac:dyDescent="0.25">
      <c r="P1246"/>
      <c r="Q1246"/>
    </row>
    <row r="1247" spans="16:17" x14ac:dyDescent="0.25">
      <c r="P1247"/>
      <c r="Q1247"/>
    </row>
    <row r="1248" spans="16:17" x14ac:dyDescent="0.25">
      <c r="P1248"/>
      <c r="Q1248"/>
    </row>
    <row r="1249" spans="16:17" x14ac:dyDescent="0.25">
      <c r="P1249"/>
      <c r="Q1249"/>
    </row>
    <row r="1250" spans="16:17" x14ac:dyDescent="0.25">
      <c r="P1250"/>
      <c r="Q1250"/>
    </row>
    <row r="1251" spans="16:17" x14ac:dyDescent="0.25">
      <c r="P1251"/>
      <c r="Q1251"/>
    </row>
    <row r="1252" spans="16:17" x14ac:dyDescent="0.25">
      <c r="P1252"/>
      <c r="Q1252"/>
    </row>
    <row r="1253" spans="16:17" x14ac:dyDescent="0.25">
      <c r="P1253"/>
      <c r="Q1253"/>
    </row>
    <row r="1254" spans="16:17" x14ac:dyDescent="0.25">
      <c r="P1254"/>
      <c r="Q1254"/>
    </row>
    <row r="1255" spans="16:17" x14ac:dyDescent="0.25">
      <c r="P1255"/>
      <c r="Q1255"/>
    </row>
    <row r="1256" spans="16:17" x14ac:dyDescent="0.25">
      <c r="P1256"/>
      <c r="Q1256"/>
    </row>
    <row r="1257" spans="16:17" x14ac:dyDescent="0.25">
      <c r="P1257"/>
      <c r="Q1257"/>
    </row>
    <row r="1258" spans="16:17" x14ac:dyDescent="0.25">
      <c r="P1258"/>
      <c r="Q1258"/>
    </row>
    <row r="1259" spans="16:17" x14ac:dyDescent="0.25">
      <c r="P1259"/>
      <c r="Q1259"/>
    </row>
    <row r="1260" spans="16:17" x14ac:dyDescent="0.25">
      <c r="P1260"/>
      <c r="Q1260"/>
    </row>
    <row r="1261" spans="16:17" x14ac:dyDescent="0.25">
      <c r="P1261"/>
      <c r="Q1261"/>
    </row>
    <row r="1262" spans="16:17" x14ac:dyDescent="0.25">
      <c r="P1262"/>
      <c r="Q1262"/>
    </row>
    <row r="1263" spans="16:17" x14ac:dyDescent="0.25">
      <c r="P1263"/>
      <c r="Q1263"/>
    </row>
    <row r="1264" spans="16:17" x14ac:dyDescent="0.25">
      <c r="P1264"/>
      <c r="Q1264"/>
    </row>
    <row r="1265" spans="16:17" x14ac:dyDescent="0.25">
      <c r="P1265"/>
      <c r="Q1265"/>
    </row>
    <row r="1266" spans="16:17" x14ac:dyDescent="0.25">
      <c r="P1266"/>
      <c r="Q1266"/>
    </row>
    <row r="1267" spans="16:17" x14ac:dyDescent="0.25">
      <c r="P1267"/>
      <c r="Q1267"/>
    </row>
    <row r="1268" spans="16:17" x14ac:dyDescent="0.25">
      <c r="P1268"/>
      <c r="Q1268"/>
    </row>
    <row r="1269" spans="16:17" x14ac:dyDescent="0.25">
      <c r="P1269"/>
      <c r="Q1269"/>
    </row>
    <row r="1270" spans="16:17" x14ac:dyDescent="0.25">
      <c r="P1270"/>
      <c r="Q1270"/>
    </row>
    <row r="1271" spans="16:17" x14ac:dyDescent="0.25">
      <c r="P1271"/>
      <c r="Q1271"/>
    </row>
    <row r="1272" spans="16:17" x14ac:dyDescent="0.25">
      <c r="P1272"/>
      <c r="Q1272"/>
    </row>
    <row r="1273" spans="16:17" x14ac:dyDescent="0.25">
      <c r="P1273"/>
      <c r="Q1273"/>
    </row>
    <row r="1274" spans="16:17" x14ac:dyDescent="0.25">
      <c r="P1274"/>
      <c r="Q1274"/>
    </row>
    <row r="1275" spans="16:17" x14ac:dyDescent="0.25">
      <c r="P1275"/>
      <c r="Q1275"/>
    </row>
    <row r="1276" spans="16:17" x14ac:dyDescent="0.25">
      <c r="P1276"/>
      <c r="Q1276"/>
    </row>
    <row r="1277" spans="16:17" x14ac:dyDescent="0.25">
      <c r="P1277"/>
      <c r="Q1277"/>
    </row>
    <row r="1278" spans="16:17" x14ac:dyDescent="0.25">
      <c r="P1278"/>
      <c r="Q1278"/>
    </row>
    <row r="1279" spans="16:17" x14ac:dyDescent="0.25">
      <c r="P1279"/>
      <c r="Q1279"/>
    </row>
    <row r="1280" spans="16:17" x14ac:dyDescent="0.25">
      <c r="P1280"/>
      <c r="Q1280"/>
    </row>
    <row r="1281" spans="16:17" x14ac:dyDescent="0.25">
      <c r="P1281"/>
      <c r="Q1281"/>
    </row>
    <row r="1282" spans="16:17" x14ac:dyDescent="0.25">
      <c r="P1282"/>
      <c r="Q1282"/>
    </row>
    <row r="1283" spans="16:17" x14ac:dyDescent="0.25">
      <c r="P1283"/>
      <c r="Q1283"/>
    </row>
    <row r="1284" spans="16:17" x14ac:dyDescent="0.25">
      <c r="P1284"/>
      <c r="Q1284"/>
    </row>
    <row r="1285" spans="16:17" x14ac:dyDescent="0.25">
      <c r="P1285"/>
      <c r="Q1285"/>
    </row>
    <row r="1286" spans="16:17" x14ac:dyDescent="0.25">
      <c r="P1286"/>
      <c r="Q1286"/>
    </row>
    <row r="1287" spans="16:17" x14ac:dyDescent="0.25">
      <c r="P1287"/>
      <c r="Q1287"/>
    </row>
    <row r="1288" spans="16:17" x14ac:dyDescent="0.25">
      <c r="P1288"/>
      <c r="Q1288"/>
    </row>
    <row r="1289" spans="16:17" x14ac:dyDescent="0.25">
      <c r="P1289"/>
      <c r="Q1289"/>
    </row>
    <row r="1290" spans="16:17" x14ac:dyDescent="0.25">
      <c r="P1290"/>
      <c r="Q1290"/>
    </row>
    <row r="1291" spans="16:17" x14ac:dyDescent="0.25">
      <c r="P1291"/>
      <c r="Q1291"/>
    </row>
    <row r="1292" spans="16:17" x14ac:dyDescent="0.25">
      <c r="P1292"/>
      <c r="Q1292"/>
    </row>
    <row r="1293" spans="16:17" x14ac:dyDescent="0.25">
      <c r="P1293"/>
      <c r="Q1293"/>
    </row>
    <row r="1294" spans="16:17" x14ac:dyDescent="0.25">
      <c r="P1294"/>
      <c r="Q1294"/>
    </row>
    <row r="1295" spans="16:17" x14ac:dyDescent="0.25">
      <c r="P1295"/>
      <c r="Q1295"/>
    </row>
    <row r="1296" spans="16:17" x14ac:dyDescent="0.25">
      <c r="P1296"/>
      <c r="Q1296"/>
    </row>
    <row r="1297" spans="16:17" x14ac:dyDescent="0.25">
      <c r="P1297"/>
      <c r="Q1297"/>
    </row>
    <row r="1298" spans="16:17" x14ac:dyDescent="0.25">
      <c r="P1298"/>
      <c r="Q1298"/>
    </row>
    <row r="1299" spans="16:17" x14ac:dyDescent="0.25">
      <c r="P1299"/>
      <c r="Q1299"/>
    </row>
    <row r="1300" spans="16:17" x14ac:dyDescent="0.25">
      <c r="P1300"/>
      <c r="Q1300"/>
    </row>
    <row r="1301" spans="16:17" x14ac:dyDescent="0.25">
      <c r="P1301"/>
      <c r="Q1301"/>
    </row>
    <row r="1302" spans="16:17" x14ac:dyDescent="0.25">
      <c r="P1302"/>
      <c r="Q1302"/>
    </row>
    <row r="1303" spans="16:17" x14ac:dyDescent="0.25">
      <c r="P1303"/>
      <c r="Q1303"/>
    </row>
    <row r="1304" spans="16:17" x14ac:dyDescent="0.25">
      <c r="P1304"/>
      <c r="Q1304"/>
    </row>
    <row r="1305" spans="16:17" x14ac:dyDescent="0.25">
      <c r="P1305"/>
      <c r="Q1305"/>
    </row>
    <row r="1306" spans="16:17" x14ac:dyDescent="0.25">
      <c r="P1306"/>
      <c r="Q1306"/>
    </row>
    <row r="1307" spans="16:17" x14ac:dyDescent="0.25">
      <c r="P1307"/>
      <c r="Q1307"/>
    </row>
    <row r="1308" spans="16:17" x14ac:dyDescent="0.25">
      <c r="P1308"/>
      <c r="Q1308"/>
    </row>
    <row r="1309" spans="16:17" x14ac:dyDescent="0.25">
      <c r="P1309"/>
      <c r="Q1309"/>
    </row>
    <row r="1310" spans="16:17" x14ac:dyDescent="0.25">
      <c r="P1310"/>
      <c r="Q1310"/>
    </row>
    <row r="1311" spans="16:17" x14ac:dyDescent="0.25">
      <c r="P1311"/>
      <c r="Q1311"/>
    </row>
    <row r="1312" spans="16:17" x14ac:dyDescent="0.25">
      <c r="P1312"/>
      <c r="Q1312"/>
    </row>
    <row r="1313" spans="16:17" x14ac:dyDescent="0.25">
      <c r="P1313"/>
      <c r="Q1313"/>
    </row>
    <row r="1314" spans="16:17" x14ac:dyDescent="0.25">
      <c r="P1314"/>
      <c r="Q1314"/>
    </row>
    <row r="1315" spans="16:17" x14ac:dyDescent="0.25">
      <c r="P1315"/>
      <c r="Q1315"/>
    </row>
    <row r="1316" spans="16:17" x14ac:dyDescent="0.25">
      <c r="P1316"/>
      <c r="Q1316"/>
    </row>
    <row r="1317" spans="16:17" x14ac:dyDescent="0.25">
      <c r="P1317"/>
      <c r="Q1317"/>
    </row>
    <row r="1318" spans="16:17" x14ac:dyDescent="0.25">
      <c r="P1318"/>
      <c r="Q1318"/>
    </row>
    <row r="1319" spans="16:17" x14ac:dyDescent="0.25">
      <c r="P1319"/>
      <c r="Q1319"/>
    </row>
    <row r="1320" spans="16:17" x14ac:dyDescent="0.25">
      <c r="P1320"/>
      <c r="Q1320"/>
    </row>
    <row r="1321" spans="16:17" x14ac:dyDescent="0.25">
      <c r="P1321"/>
      <c r="Q1321"/>
    </row>
    <row r="1322" spans="16:17" x14ac:dyDescent="0.25">
      <c r="P1322"/>
      <c r="Q1322"/>
    </row>
    <row r="1323" spans="16:17" x14ac:dyDescent="0.25">
      <c r="P1323"/>
      <c r="Q1323"/>
    </row>
    <row r="1324" spans="16:17" x14ac:dyDescent="0.25">
      <c r="P1324"/>
      <c r="Q1324"/>
    </row>
    <row r="1325" spans="16:17" x14ac:dyDescent="0.25">
      <c r="P1325"/>
      <c r="Q1325"/>
    </row>
    <row r="1326" spans="16:17" x14ac:dyDescent="0.25">
      <c r="P1326"/>
      <c r="Q1326"/>
    </row>
    <row r="1327" spans="16:17" x14ac:dyDescent="0.25">
      <c r="P1327"/>
      <c r="Q1327"/>
    </row>
    <row r="1328" spans="16:17" x14ac:dyDescent="0.25">
      <c r="P1328"/>
      <c r="Q1328"/>
    </row>
    <row r="1329" spans="16:17" x14ac:dyDescent="0.25">
      <c r="P1329"/>
      <c r="Q1329"/>
    </row>
    <row r="1330" spans="16:17" x14ac:dyDescent="0.25">
      <c r="P1330"/>
      <c r="Q1330"/>
    </row>
    <row r="1331" spans="16:17" x14ac:dyDescent="0.25">
      <c r="P1331"/>
      <c r="Q1331"/>
    </row>
    <row r="1332" spans="16:17" x14ac:dyDescent="0.25">
      <c r="P1332"/>
      <c r="Q1332"/>
    </row>
    <row r="1333" spans="16:17" x14ac:dyDescent="0.25">
      <c r="P1333"/>
      <c r="Q1333"/>
    </row>
    <row r="1334" spans="16:17" x14ac:dyDescent="0.25">
      <c r="P1334"/>
      <c r="Q1334"/>
    </row>
    <row r="1335" spans="16:17" x14ac:dyDescent="0.25">
      <c r="P1335"/>
      <c r="Q1335"/>
    </row>
    <row r="1336" spans="16:17" x14ac:dyDescent="0.25">
      <c r="P1336"/>
      <c r="Q1336"/>
    </row>
    <row r="1337" spans="16:17" x14ac:dyDescent="0.25">
      <c r="P1337"/>
      <c r="Q1337"/>
    </row>
    <row r="1338" spans="16:17" x14ac:dyDescent="0.25">
      <c r="P1338"/>
      <c r="Q1338"/>
    </row>
    <row r="1339" spans="16:17" x14ac:dyDescent="0.25">
      <c r="P1339"/>
      <c r="Q1339"/>
    </row>
    <row r="1340" spans="16:17" x14ac:dyDescent="0.25">
      <c r="P1340"/>
      <c r="Q1340"/>
    </row>
    <row r="1341" spans="16:17" x14ac:dyDescent="0.25">
      <c r="P1341"/>
      <c r="Q1341"/>
    </row>
    <row r="1342" spans="16:17" x14ac:dyDescent="0.25">
      <c r="P1342"/>
      <c r="Q1342"/>
    </row>
    <row r="1343" spans="16:17" x14ac:dyDescent="0.25">
      <c r="P1343"/>
      <c r="Q1343"/>
    </row>
    <row r="1344" spans="16:17" x14ac:dyDescent="0.25">
      <c r="P1344"/>
      <c r="Q1344"/>
    </row>
    <row r="1345" spans="16:17" x14ac:dyDescent="0.25">
      <c r="P1345"/>
      <c r="Q1345"/>
    </row>
    <row r="1346" spans="16:17" x14ac:dyDescent="0.25">
      <c r="P1346"/>
      <c r="Q1346"/>
    </row>
    <row r="1347" spans="16:17" x14ac:dyDescent="0.25">
      <c r="P1347"/>
      <c r="Q1347"/>
    </row>
    <row r="1348" spans="16:17" x14ac:dyDescent="0.25">
      <c r="P1348"/>
      <c r="Q1348"/>
    </row>
    <row r="1349" spans="16:17" x14ac:dyDescent="0.25">
      <c r="P1349"/>
      <c r="Q1349"/>
    </row>
    <row r="1350" spans="16:17" x14ac:dyDescent="0.25">
      <c r="P1350"/>
      <c r="Q1350"/>
    </row>
    <row r="1351" spans="16:17" x14ac:dyDescent="0.25">
      <c r="P1351"/>
      <c r="Q1351"/>
    </row>
    <row r="1352" spans="16:17" x14ac:dyDescent="0.25">
      <c r="P1352"/>
      <c r="Q1352"/>
    </row>
    <row r="1353" spans="16:17" x14ac:dyDescent="0.25">
      <c r="P1353"/>
      <c r="Q1353"/>
    </row>
    <row r="1354" spans="16:17" x14ac:dyDescent="0.25">
      <c r="P1354"/>
      <c r="Q1354"/>
    </row>
    <row r="1355" spans="16:17" x14ac:dyDescent="0.25">
      <c r="P1355"/>
      <c r="Q1355"/>
    </row>
    <row r="1356" spans="16:17" x14ac:dyDescent="0.25">
      <c r="P1356"/>
      <c r="Q1356"/>
    </row>
    <row r="1357" spans="16:17" x14ac:dyDescent="0.25">
      <c r="P1357"/>
      <c r="Q1357"/>
    </row>
    <row r="1358" spans="16:17" x14ac:dyDescent="0.25">
      <c r="P1358"/>
      <c r="Q1358"/>
    </row>
    <row r="1359" spans="16:17" x14ac:dyDescent="0.25">
      <c r="P1359"/>
      <c r="Q1359"/>
    </row>
    <row r="1360" spans="16:17" x14ac:dyDescent="0.25">
      <c r="P1360"/>
      <c r="Q1360"/>
    </row>
    <row r="1361" spans="16:17" x14ac:dyDescent="0.25">
      <c r="P1361"/>
      <c r="Q1361"/>
    </row>
    <row r="1362" spans="16:17" x14ac:dyDescent="0.25">
      <c r="P1362"/>
      <c r="Q1362"/>
    </row>
    <row r="1363" spans="16:17" x14ac:dyDescent="0.25">
      <c r="P1363"/>
      <c r="Q1363"/>
    </row>
    <row r="1364" spans="16:17" x14ac:dyDescent="0.25">
      <c r="P1364"/>
      <c r="Q1364"/>
    </row>
    <row r="1365" spans="16:17" x14ac:dyDescent="0.25">
      <c r="P1365"/>
      <c r="Q1365"/>
    </row>
    <row r="1366" spans="16:17" x14ac:dyDescent="0.25">
      <c r="P1366"/>
      <c r="Q1366"/>
    </row>
    <row r="1367" spans="16:17" x14ac:dyDescent="0.25">
      <c r="P1367"/>
      <c r="Q1367"/>
    </row>
    <row r="1368" spans="16:17" x14ac:dyDescent="0.25">
      <c r="P1368"/>
      <c r="Q1368"/>
    </row>
    <row r="1369" spans="16:17" x14ac:dyDescent="0.25">
      <c r="P1369"/>
      <c r="Q1369"/>
    </row>
    <row r="1370" spans="16:17" x14ac:dyDescent="0.25">
      <c r="P1370"/>
      <c r="Q1370"/>
    </row>
    <row r="1371" spans="16:17" x14ac:dyDescent="0.25">
      <c r="P1371"/>
      <c r="Q1371"/>
    </row>
    <row r="1372" spans="16:17" x14ac:dyDescent="0.25">
      <c r="P1372"/>
      <c r="Q1372"/>
    </row>
    <row r="1373" spans="16:17" x14ac:dyDescent="0.25">
      <c r="P1373"/>
      <c r="Q1373"/>
    </row>
    <row r="1374" spans="16:17" x14ac:dyDescent="0.25">
      <c r="P1374"/>
      <c r="Q1374"/>
    </row>
    <row r="1375" spans="16:17" x14ac:dyDescent="0.25">
      <c r="P1375"/>
      <c r="Q1375"/>
    </row>
    <row r="1376" spans="16:17" x14ac:dyDescent="0.25">
      <c r="P1376"/>
      <c r="Q1376"/>
    </row>
    <row r="1377" spans="16:17" x14ac:dyDescent="0.25">
      <c r="P1377"/>
      <c r="Q1377"/>
    </row>
    <row r="1378" spans="16:17" x14ac:dyDescent="0.25">
      <c r="P1378"/>
      <c r="Q1378"/>
    </row>
    <row r="1379" spans="16:17" x14ac:dyDescent="0.25">
      <c r="P1379"/>
      <c r="Q1379"/>
    </row>
    <row r="1380" spans="16:17" x14ac:dyDescent="0.25">
      <c r="P1380"/>
      <c r="Q1380"/>
    </row>
    <row r="1381" spans="16:17" x14ac:dyDescent="0.25">
      <c r="P1381"/>
      <c r="Q1381"/>
    </row>
    <row r="1382" spans="16:17" x14ac:dyDescent="0.25">
      <c r="P1382"/>
      <c r="Q1382"/>
    </row>
    <row r="1383" spans="16:17" x14ac:dyDescent="0.25">
      <c r="P1383"/>
      <c r="Q1383"/>
    </row>
    <row r="1384" spans="16:17" x14ac:dyDescent="0.25">
      <c r="P1384"/>
      <c r="Q1384"/>
    </row>
    <row r="1385" spans="16:17" x14ac:dyDescent="0.25">
      <c r="P1385"/>
      <c r="Q1385"/>
    </row>
    <row r="1386" spans="16:17" x14ac:dyDescent="0.25">
      <c r="P1386"/>
      <c r="Q1386"/>
    </row>
    <row r="1387" spans="16:17" x14ac:dyDescent="0.25">
      <c r="P1387"/>
      <c r="Q1387"/>
    </row>
    <row r="1388" spans="16:17" x14ac:dyDescent="0.25">
      <c r="P1388"/>
      <c r="Q1388"/>
    </row>
    <row r="1389" spans="16:17" x14ac:dyDescent="0.25">
      <c r="P1389"/>
      <c r="Q1389"/>
    </row>
    <row r="1390" spans="16:17" x14ac:dyDescent="0.25">
      <c r="P1390"/>
      <c r="Q1390"/>
    </row>
    <row r="1391" spans="16:17" x14ac:dyDescent="0.25">
      <c r="P1391"/>
      <c r="Q1391"/>
    </row>
    <row r="1392" spans="16:17" x14ac:dyDescent="0.25">
      <c r="P1392"/>
      <c r="Q1392"/>
    </row>
    <row r="1393" spans="16:17" x14ac:dyDescent="0.25">
      <c r="P1393"/>
      <c r="Q1393"/>
    </row>
    <row r="1394" spans="16:17" x14ac:dyDescent="0.25">
      <c r="P1394"/>
      <c r="Q1394"/>
    </row>
    <row r="1395" spans="16:17" x14ac:dyDescent="0.25">
      <c r="P1395"/>
      <c r="Q1395"/>
    </row>
    <row r="1396" spans="16:17" x14ac:dyDescent="0.25">
      <c r="P1396"/>
      <c r="Q1396"/>
    </row>
    <row r="1397" spans="16:17" x14ac:dyDescent="0.25">
      <c r="P1397"/>
      <c r="Q1397"/>
    </row>
    <row r="1398" spans="16:17" x14ac:dyDescent="0.25">
      <c r="P1398"/>
      <c r="Q1398"/>
    </row>
    <row r="1399" spans="16:17" x14ac:dyDescent="0.25">
      <c r="P1399"/>
      <c r="Q1399"/>
    </row>
    <row r="1400" spans="16:17" x14ac:dyDescent="0.25">
      <c r="P1400"/>
      <c r="Q1400"/>
    </row>
    <row r="1401" spans="16:17" x14ac:dyDescent="0.25">
      <c r="P1401"/>
      <c r="Q1401"/>
    </row>
    <row r="1402" spans="16:17" x14ac:dyDescent="0.25">
      <c r="P1402"/>
      <c r="Q1402"/>
    </row>
    <row r="1403" spans="16:17" x14ac:dyDescent="0.25">
      <c r="P1403"/>
      <c r="Q1403"/>
    </row>
    <row r="1404" spans="16:17" x14ac:dyDescent="0.25">
      <c r="P1404"/>
      <c r="Q1404"/>
    </row>
    <row r="1405" spans="16:17" x14ac:dyDescent="0.25">
      <c r="P1405"/>
      <c r="Q1405"/>
    </row>
    <row r="1406" spans="16:17" x14ac:dyDescent="0.25">
      <c r="P1406"/>
      <c r="Q1406"/>
    </row>
    <row r="1407" spans="16:17" x14ac:dyDescent="0.25">
      <c r="P1407"/>
      <c r="Q1407"/>
    </row>
    <row r="1408" spans="16:17" x14ac:dyDescent="0.25">
      <c r="P1408"/>
      <c r="Q1408"/>
    </row>
    <row r="1409" spans="16:17" x14ac:dyDescent="0.25">
      <c r="P1409"/>
      <c r="Q1409"/>
    </row>
    <row r="1410" spans="16:17" x14ac:dyDescent="0.25">
      <c r="P1410"/>
      <c r="Q1410"/>
    </row>
    <row r="1411" spans="16:17" x14ac:dyDescent="0.25">
      <c r="P1411"/>
      <c r="Q1411"/>
    </row>
    <row r="1412" spans="16:17" x14ac:dyDescent="0.25">
      <c r="P1412"/>
      <c r="Q1412"/>
    </row>
    <row r="1413" spans="16:17" x14ac:dyDescent="0.25">
      <c r="P1413"/>
      <c r="Q1413"/>
    </row>
    <row r="1414" spans="16:17" x14ac:dyDescent="0.25">
      <c r="P1414"/>
      <c r="Q1414"/>
    </row>
    <row r="1415" spans="16:17" x14ac:dyDescent="0.25">
      <c r="P1415"/>
      <c r="Q1415"/>
    </row>
    <row r="1416" spans="16:17" x14ac:dyDescent="0.25">
      <c r="P1416"/>
      <c r="Q1416"/>
    </row>
    <row r="1417" spans="16:17" x14ac:dyDescent="0.25">
      <c r="P1417"/>
      <c r="Q1417"/>
    </row>
    <row r="1418" spans="16:17" x14ac:dyDescent="0.25">
      <c r="P1418"/>
      <c r="Q1418"/>
    </row>
    <row r="1419" spans="16:17" x14ac:dyDescent="0.25">
      <c r="P1419"/>
      <c r="Q1419"/>
    </row>
    <row r="1420" spans="16:17" x14ac:dyDescent="0.25">
      <c r="P1420"/>
      <c r="Q1420"/>
    </row>
    <row r="1421" spans="16:17" x14ac:dyDescent="0.25">
      <c r="P1421"/>
      <c r="Q1421"/>
    </row>
    <row r="1422" spans="16:17" x14ac:dyDescent="0.25">
      <c r="P1422"/>
      <c r="Q1422"/>
    </row>
    <row r="1423" spans="16:17" x14ac:dyDescent="0.25">
      <c r="P1423"/>
      <c r="Q1423"/>
    </row>
    <row r="1424" spans="16:17" x14ac:dyDescent="0.25">
      <c r="P1424"/>
      <c r="Q1424"/>
    </row>
    <row r="1425" spans="16:17" x14ac:dyDescent="0.25">
      <c r="P1425"/>
      <c r="Q1425"/>
    </row>
    <row r="1426" spans="16:17" x14ac:dyDescent="0.25">
      <c r="P1426"/>
      <c r="Q1426"/>
    </row>
    <row r="1427" spans="16:17" x14ac:dyDescent="0.25">
      <c r="P1427"/>
      <c r="Q1427"/>
    </row>
    <row r="1428" spans="16:17" x14ac:dyDescent="0.25">
      <c r="P1428"/>
      <c r="Q1428"/>
    </row>
    <row r="1429" spans="16:17" x14ac:dyDescent="0.25">
      <c r="P1429"/>
      <c r="Q1429"/>
    </row>
    <row r="1430" spans="16:17" x14ac:dyDescent="0.25">
      <c r="P1430"/>
      <c r="Q1430"/>
    </row>
    <row r="1431" spans="16:17" x14ac:dyDescent="0.25">
      <c r="P1431"/>
      <c r="Q1431"/>
    </row>
    <row r="1432" spans="16:17" x14ac:dyDescent="0.25">
      <c r="P1432"/>
      <c r="Q1432"/>
    </row>
    <row r="1433" spans="16:17" x14ac:dyDescent="0.25">
      <c r="P1433"/>
      <c r="Q1433"/>
    </row>
    <row r="1434" spans="16:17" x14ac:dyDescent="0.25">
      <c r="P1434"/>
      <c r="Q1434"/>
    </row>
    <row r="1435" spans="16:17" x14ac:dyDescent="0.25">
      <c r="P1435"/>
      <c r="Q1435"/>
    </row>
    <row r="1436" spans="16:17" x14ac:dyDescent="0.25">
      <c r="P1436"/>
      <c r="Q1436"/>
    </row>
    <row r="1437" spans="16:17" x14ac:dyDescent="0.25">
      <c r="P1437"/>
      <c r="Q1437"/>
    </row>
    <row r="1438" spans="16:17" x14ac:dyDescent="0.25">
      <c r="P1438"/>
      <c r="Q1438"/>
    </row>
    <row r="1439" spans="16:17" x14ac:dyDescent="0.25">
      <c r="P1439"/>
      <c r="Q1439"/>
    </row>
    <row r="1440" spans="16:17" x14ac:dyDescent="0.25">
      <c r="P1440"/>
      <c r="Q1440"/>
    </row>
    <row r="1441" spans="16:17" x14ac:dyDescent="0.25">
      <c r="P1441"/>
      <c r="Q1441"/>
    </row>
    <row r="1442" spans="16:17" x14ac:dyDescent="0.25">
      <c r="P1442"/>
      <c r="Q1442"/>
    </row>
    <row r="1443" spans="16:17" x14ac:dyDescent="0.25">
      <c r="P1443"/>
      <c r="Q1443"/>
    </row>
    <row r="1444" spans="16:17" x14ac:dyDescent="0.25">
      <c r="P1444"/>
      <c r="Q1444"/>
    </row>
    <row r="1445" spans="16:17" x14ac:dyDescent="0.25">
      <c r="P1445"/>
      <c r="Q1445"/>
    </row>
    <row r="1446" spans="16:17" x14ac:dyDescent="0.25">
      <c r="P1446"/>
      <c r="Q1446"/>
    </row>
    <row r="1447" spans="16:17" x14ac:dyDescent="0.25">
      <c r="P1447"/>
      <c r="Q1447"/>
    </row>
    <row r="1448" spans="16:17" x14ac:dyDescent="0.25">
      <c r="P1448"/>
      <c r="Q1448"/>
    </row>
    <row r="1449" spans="16:17" x14ac:dyDescent="0.25">
      <c r="P1449"/>
      <c r="Q1449"/>
    </row>
    <row r="1450" spans="16:17" x14ac:dyDescent="0.25">
      <c r="P1450"/>
      <c r="Q1450"/>
    </row>
    <row r="1451" spans="16:17" x14ac:dyDescent="0.25">
      <c r="P1451"/>
      <c r="Q1451"/>
    </row>
    <row r="1452" spans="16:17" x14ac:dyDescent="0.25">
      <c r="P1452"/>
      <c r="Q1452"/>
    </row>
    <row r="1453" spans="16:17" x14ac:dyDescent="0.25">
      <c r="P1453"/>
      <c r="Q1453"/>
    </row>
    <row r="1454" spans="16:17" x14ac:dyDescent="0.25">
      <c r="P1454"/>
      <c r="Q1454"/>
    </row>
    <row r="1455" spans="16:17" x14ac:dyDescent="0.25">
      <c r="P1455"/>
      <c r="Q1455"/>
    </row>
    <row r="1456" spans="16:17" x14ac:dyDescent="0.25">
      <c r="P1456"/>
      <c r="Q1456"/>
    </row>
    <row r="1457" spans="16:17" x14ac:dyDescent="0.25">
      <c r="P1457"/>
      <c r="Q1457"/>
    </row>
    <row r="1458" spans="16:17" x14ac:dyDescent="0.25">
      <c r="P1458"/>
      <c r="Q1458"/>
    </row>
    <row r="1459" spans="16:17" x14ac:dyDescent="0.25">
      <c r="P1459"/>
      <c r="Q1459"/>
    </row>
    <row r="1460" spans="16:17" x14ac:dyDescent="0.25">
      <c r="P1460"/>
      <c r="Q1460"/>
    </row>
    <row r="1461" spans="16:17" x14ac:dyDescent="0.25">
      <c r="P1461"/>
      <c r="Q1461"/>
    </row>
    <row r="1462" spans="16:17" x14ac:dyDescent="0.25">
      <c r="P1462"/>
      <c r="Q1462"/>
    </row>
    <row r="1463" spans="16:17" x14ac:dyDescent="0.25">
      <c r="P1463"/>
      <c r="Q1463"/>
    </row>
    <row r="1464" spans="16:17" x14ac:dyDescent="0.25">
      <c r="P1464"/>
      <c r="Q1464"/>
    </row>
    <row r="1465" spans="16:17" x14ac:dyDescent="0.25">
      <c r="P1465"/>
      <c r="Q1465"/>
    </row>
    <row r="1466" spans="16:17" x14ac:dyDescent="0.25">
      <c r="P1466"/>
      <c r="Q1466"/>
    </row>
    <row r="1467" spans="16:17" x14ac:dyDescent="0.25">
      <c r="P1467"/>
      <c r="Q1467"/>
    </row>
    <row r="1468" spans="16:17" x14ac:dyDescent="0.25">
      <c r="P1468"/>
      <c r="Q1468"/>
    </row>
    <row r="1469" spans="16:17" x14ac:dyDescent="0.25">
      <c r="P1469"/>
      <c r="Q1469"/>
    </row>
    <row r="1470" spans="16:17" x14ac:dyDescent="0.25">
      <c r="P1470"/>
      <c r="Q1470"/>
    </row>
    <row r="1471" spans="16:17" x14ac:dyDescent="0.25">
      <c r="P1471"/>
      <c r="Q1471"/>
    </row>
    <row r="1472" spans="16:17" x14ac:dyDescent="0.25">
      <c r="P1472"/>
      <c r="Q1472"/>
    </row>
    <row r="1473" spans="16:17" x14ac:dyDescent="0.25">
      <c r="P1473"/>
      <c r="Q1473"/>
    </row>
    <row r="1474" spans="16:17" x14ac:dyDescent="0.25">
      <c r="P1474"/>
      <c r="Q1474"/>
    </row>
    <row r="1475" spans="16:17" x14ac:dyDescent="0.25">
      <c r="P1475"/>
      <c r="Q1475"/>
    </row>
    <row r="1476" spans="16:17" x14ac:dyDescent="0.25">
      <c r="P1476"/>
      <c r="Q1476"/>
    </row>
    <row r="1477" spans="16:17" x14ac:dyDescent="0.25">
      <c r="P1477"/>
      <c r="Q1477"/>
    </row>
    <row r="1478" spans="16:17" x14ac:dyDescent="0.25">
      <c r="P1478"/>
      <c r="Q1478"/>
    </row>
    <row r="1479" spans="16:17" x14ac:dyDescent="0.25">
      <c r="P1479"/>
      <c r="Q1479"/>
    </row>
    <row r="1480" spans="16:17" x14ac:dyDescent="0.25">
      <c r="P1480"/>
      <c r="Q1480"/>
    </row>
    <row r="1481" spans="16:17" x14ac:dyDescent="0.25">
      <c r="P1481"/>
      <c r="Q1481"/>
    </row>
    <row r="1482" spans="16:17" x14ac:dyDescent="0.25">
      <c r="P1482"/>
      <c r="Q1482"/>
    </row>
    <row r="1483" spans="16:17" x14ac:dyDescent="0.25">
      <c r="P1483"/>
      <c r="Q1483"/>
    </row>
    <row r="1484" spans="16:17" x14ac:dyDescent="0.25">
      <c r="P1484"/>
      <c r="Q1484"/>
    </row>
    <row r="1485" spans="16:17" x14ac:dyDescent="0.25">
      <c r="P1485"/>
      <c r="Q1485"/>
    </row>
    <row r="1486" spans="16:17" x14ac:dyDescent="0.25">
      <c r="P1486"/>
      <c r="Q1486"/>
    </row>
    <row r="1487" spans="16:17" x14ac:dyDescent="0.25">
      <c r="P1487"/>
      <c r="Q1487"/>
    </row>
    <row r="1488" spans="16:17" x14ac:dyDescent="0.25">
      <c r="P1488"/>
      <c r="Q1488"/>
    </row>
    <row r="1489" spans="16:17" x14ac:dyDescent="0.25">
      <c r="P1489"/>
      <c r="Q1489"/>
    </row>
    <row r="1490" spans="16:17" x14ac:dyDescent="0.25">
      <c r="P1490"/>
      <c r="Q1490"/>
    </row>
    <row r="1491" spans="16:17" x14ac:dyDescent="0.25">
      <c r="P1491"/>
      <c r="Q1491"/>
    </row>
    <row r="1492" spans="16:17" x14ac:dyDescent="0.25">
      <c r="P1492"/>
      <c r="Q1492"/>
    </row>
    <row r="1493" spans="16:17" x14ac:dyDescent="0.25">
      <c r="P1493"/>
      <c r="Q1493"/>
    </row>
    <row r="1494" spans="16:17" x14ac:dyDescent="0.25">
      <c r="P1494"/>
      <c r="Q1494"/>
    </row>
    <row r="1495" spans="16:17" x14ac:dyDescent="0.25">
      <c r="P1495"/>
      <c r="Q1495"/>
    </row>
    <row r="1496" spans="16:17" x14ac:dyDescent="0.25">
      <c r="P1496"/>
      <c r="Q1496"/>
    </row>
    <row r="1497" spans="16:17" x14ac:dyDescent="0.25">
      <c r="P1497"/>
      <c r="Q1497"/>
    </row>
    <row r="1498" spans="16:17" x14ac:dyDescent="0.25">
      <c r="P1498"/>
      <c r="Q1498"/>
    </row>
    <row r="1499" spans="16:17" x14ac:dyDescent="0.25">
      <c r="P1499"/>
      <c r="Q1499"/>
    </row>
    <row r="1500" spans="16:17" x14ac:dyDescent="0.25">
      <c r="P1500"/>
      <c r="Q1500"/>
    </row>
    <row r="1501" spans="16:17" x14ac:dyDescent="0.25">
      <c r="P1501"/>
      <c r="Q1501"/>
    </row>
    <row r="1502" spans="16:17" x14ac:dyDescent="0.25">
      <c r="P1502"/>
      <c r="Q1502"/>
    </row>
    <row r="1503" spans="16:17" x14ac:dyDescent="0.25">
      <c r="P1503"/>
      <c r="Q1503"/>
    </row>
    <row r="1504" spans="16:17" x14ac:dyDescent="0.25">
      <c r="P1504"/>
      <c r="Q1504"/>
    </row>
    <row r="1505" spans="16:17" x14ac:dyDescent="0.25">
      <c r="P1505"/>
      <c r="Q1505"/>
    </row>
    <row r="1506" spans="16:17" x14ac:dyDescent="0.25">
      <c r="P1506"/>
      <c r="Q1506"/>
    </row>
    <row r="1507" spans="16:17" x14ac:dyDescent="0.25">
      <c r="P1507"/>
      <c r="Q1507"/>
    </row>
    <row r="1508" spans="16:17" x14ac:dyDescent="0.25">
      <c r="P1508"/>
      <c r="Q1508"/>
    </row>
    <row r="1509" spans="16:17" x14ac:dyDescent="0.25">
      <c r="P1509"/>
      <c r="Q1509"/>
    </row>
    <row r="1510" spans="16:17" x14ac:dyDescent="0.25">
      <c r="P1510"/>
      <c r="Q1510"/>
    </row>
    <row r="1511" spans="16:17" x14ac:dyDescent="0.25">
      <c r="P1511"/>
      <c r="Q1511"/>
    </row>
    <row r="1512" spans="16:17" x14ac:dyDescent="0.25">
      <c r="P1512"/>
      <c r="Q1512"/>
    </row>
    <row r="1513" spans="16:17" x14ac:dyDescent="0.25">
      <c r="P1513"/>
      <c r="Q1513"/>
    </row>
    <row r="1514" spans="16:17" x14ac:dyDescent="0.25">
      <c r="P1514"/>
      <c r="Q1514"/>
    </row>
    <row r="1515" spans="16:17" x14ac:dyDescent="0.25">
      <c r="P1515"/>
      <c r="Q1515"/>
    </row>
    <row r="1516" spans="16:17" x14ac:dyDescent="0.25">
      <c r="P1516"/>
      <c r="Q1516"/>
    </row>
    <row r="1517" spans="16:17" x14ac:dyDescent="0.25">
      <c r="P1517"/>
      <c r="Q1517"/>
    </row>
    <row r="1518" spans="16:17" x14ac:dyDescent="0.25">
      <c r="P1518"/>
      <c r="Q1518"/>
    </row>
    <row r="1519" spans="16:17" x14ac:dyDescent="0.25">
      <c r="P1519"/>
      <c r="Q1519"/>
    </row>
    <row r="1520" spans="16:17" x14ac:dyDescent="0.25">
      <c r="P1520"/>
      <c r="Q1520"/>
    </row>
    <row r="1521" spans="16:17" x14ac:dyDescent="0.25">
      <c r="P1521"/>
      <c r="Q1521"/>
    </row>
    <row r="1522" spans="16:17" x14ac:dyDescent="0.25">
      <c r="P1522"/>
      <c r="Q1522"/>
    </row>
    <row r="1523" spans="16:17" x14ac:dyDescent="0.25">
      <c r="P1523"/>
      <c r="Q1523"/>
    </row>
    <row r="1524" spans="16:17" x14ac:dyDescent="0.25">
      <c r="P1524"/>
      <c r="Q1524"/>
    </row>
    <row r="1525" spans="16:17" x14ac:dyDescent="0.25">
      <c r="P1525"/>
      <c r="Q1525"/>
    </row>
    <row r="1526" spans="16:17" x14ac:dyDescent="0.25">
      <c r="P1526"/>
      <c r="Q1526"/>
    </row>
    <row r="1527" spans="16:17" x14ac:dyDescent="0.25">
      <c r="P1527"/>
      <c r="Q1527"/>
    </row>
    <row r="1528" spans="16:17" x14ac:dyDescent="0.25">
      <c r="P1528"/>
      <c r="Q1528"/>
    </row>
    <row r="1529" spans="16:17" x14ac:dyDescent="0.25">
      <c r="P1529"/>
      <c r="Q1529"/>
    </row>
    <row r="1530" spans="16:17" x14ac:dyDescent="0.25">
      <c r="P1530"/>
      <c r="Q1530"/>
    </row>
    <row r="1531" spans="16:17" x14ac:dyDescent="0.25">
      <c r="P1531"/>
      <c r="Q1531"/>
    </row>
    <row r="1532" spans="16:17" x14ac:dyDescent="0.25">
      <c r="P1532"/>
      <c r="Q1532"/>
    </row>
    <row r="1533" spans="16:17" x14ac:dyDescent="0.25">
      <c r="P1533"/>
      <c r="Q1533"/>
    </row>
    <row r="1534" spans="16:17" x14ac:dyDescent="0.25">
      <c r="P1534"/>
      <c r="Q1534"/>
    </row>
    <row r="1535" spans="16:17" x14ac:dyDescent="0.25">
      <c r="P1535"/>
      <c r="Q1535"/>
    </row>
    <row r="1536" spans="16:17" x14ac:dyDescent="0.25">
      <c r="P1536"/>
      <c r="Q1536"/>
    </row>
    <row r="1537" spans="16:17" x14ac:dyDescent="0.25">
      <c r="P1537"/>
      <c r="Q1537"/>
    </row>
    <row r="1538" spans="16:17" x14ac:dyDescent="0.25">
      <c r="P1538"/>
      <c r="Q1538"/>
    </row>
    <row r="1539" spans="16:17" x14ac:dyDescent="0.25">
      <c r="P1539"/>
      <c r="Q1539"/>
    </row>
    <row r="1540" spans="16:17" x14ac:dyDescent="0.25">
      <c r="P1540"/>
      <c r="Q1540"/>
    </row>
    <row r="1541" spans="16:17" x14ac:dyDescent="0.25">
      <c r="P1541"/>
      <c r="Q1541"/>
    </row>
    <row r="1542" spans="16:17" x14ac:dyDescent="0.25">
      <c r="P1542"/>
      <c r="Q1542"/>
    </row>
    <row r="1543" spans="16:17" x14ac:dyDescent="0.25">
      <c r="P1543"/>
      <c r="Q1543"/>
    </row>
    <row r="1544" spans="16:17" x14ac:dyDescent="0.25">
      <c r="P1544"/>
      <c r="Q1544"/>
    </row>
    <row r="1545" spans="16:17" x14ac:dyDescent="0.25">
      <c r="P1545"/>
      <c r="Q1545"/>
    </row>
    <row r="1546" spans="16:17" x14ac:dyDescent="0.25">
      <c r="P1546"/>
      <c r="Q1546"/>
    </row>
    <row r="1547" spans="16:17" x14ac:dyDescent="0.25">
      <c r="P1547"/>
      <c r="Q1547"/>
    </row>
    <row r="1548" spans="16:17" x14ac:dyDescent="0.25">
      <c r="P1548"/>
      <c r="Q1548"/>
    </row>
    <row r="1549" spans="16:17" x14ac:dyDescent="0.25">
      <c r="P1549"/>
      <c r="Q1549"/>
    </row>
    <row r="1550" spans="16:17" x14ac:dyDescent="0.25">
      <c r="P1550"/>
      <c r="Q1550"/>
    </row>
    <row r="1551" spans="16:17" x14ac:dyDescent="0.25">
      <c r="P1551"/>
      <c r="Q1551"/>
    </row>
    <row r="1552" spans="16:17" x14ac:dyDescent="0.25">
      <c r="P1552"/>
      <c r="Q1552"/>
    </row>
    <row r="1553" spans="16:17" x14ac:dyDescent="0.25">
      <c r="P1553"/>
      <c r="Q1553"/>
    </row>
    <row r="1554" spans="16:17" x14ac:dyDescent="0.25">
      <c r="P1554"/>
      <c r="Q1554"/>
    </row>
    <row r="1555" spans="16:17" x14ac:dyDescent="0.25">
      <c r="P1555"/>
      <c r="Q1555"/>
    </row>
    <row r="1556" spans="16:17" x14ac:dyDescent="0.25">
      <c r="P1556"/>
      <c r="Q1556"/>
    </row>
    <row r="1557" spans="16:17" x14ac:dyDescent="0.25">
      <c r="P1557"/>
      <c r="Q1557"/>
    </row>
    <row r="1558" spans="16:17" x14ac:dyDescent="0.25">
      <c r="P1558"/>
      <c r="Q1558"/>
    </row>
    <row r="1559" spans="16:17" x14ac:dyDescent="0.25">
      <c r="P1559"/>
      <c r="Q1559"/>
    </row>
    <row r="1560" spans="16:17" x14ac:dyDescent="0.25">
      <c r="P1560"/>
      <c r="Q1560"/>
    </row>
    <row r="1561" spans="16:17" x14ac:dyDescent="0.25">
      <c r="P1561"/>
      <c r="Q1561"/>
    </row>
    <row r="1562" spans="16:17" x14ac:dyDescent="0.25">
      <c r="P1562"/>
      <c r="Q1562"/>
    </row>
    <row r="1563" spans="16:17" x14ac:dyDescent="0.25">
      <c r="P1563"/>
      <c r="Q1563"/>
    </row>
    <row r="1564" spans="16:17" x14ac:dyDescent="0.25">
      <c r="P1564"/>
      <c r="Q1564"/>
    </row>
    <row r="1565" spans="16:17" x14ac:dyDescent="0.25">
      <c r="P1565"/>
      <c r="Q1565"/>
    </row>
    <row r="1566" spans="16:17" x14ac:dyDescent="0.25">
      <c r="P1566"/>
      <c r="Q1566"/>
    </row>
    <row r="1567" spans="16:17" x14ac:dyDescent="0.25">
      <c r="P1567"/>
      <c r="Q1567"/>
    </row>
    <row r="1568" spans="16:17" x14ac:dyDescent="0.25">
      <c r="P1568"/>
      <c r="Q1568"/>
    </row>
    <row r="1569" spans="16:17" x14ac:dyDescent="0.25">
      <c r="P1569"/>
      <c r="Q1569"/>
    </row>
    <row r="1570" spans="16:17" x14ac:dyDescent="0.25">
      <c r="P1570"/>
      <c r="Q1570"/>
    </row>
    <row r="1571" spans="16:17" x14ac:dyDescent="0.25">
      <c r="P1571"/>
      <c r="Q1571"/>
    </row>
    <row r="1572" spans="16:17" x14ac:dyDescent="0.25">
      <c r="P1572"/>
      <c r="Q1572"/>
    </row>
    <row r="1573" spans="16:17" x14ac:dyDescent="0.25">
      <c r="P1573"/>
      <c r="Q1573"/>
    </row>
    <row r="1574" spans="16:17" x14ac:dyDescent="0.25">
      <c r="P1574"/>
      <c r="Q1574"/>
    </row>
    <row r="1575" spans="16:17" x14ac:dyDescent="0.25">
      <c r="P1575"/>
      <c r="Q1575"/>
    </row>
    <row r="1576" spans="16:17" x14ac:dyDescent="0.25">
      <c r="P1576"/>
      <c r="Q1576"/>
    </row>
    <row r="1577" spans="16:17" x14ac:dyDescent="0.25">
      <c r="P1577"/>
      <c r="Q1577"/>
    </row>
    <row r="1578" spans="16:17" x14ac:dyDescent="0.25">
      <c r="P1578"/>
      <c r="Q1578"/>
    </row>
    <row r="1579" spans="16:17" x14ac:dyDescent="0.25">
      <c r="P1579"/>
      <c r="Q1579"/>
    </row>
    <row r="1580" spans="16:17" x14ac:dyDescent="0.25">
      <c r="P1580"/>
      <c r="Q1580"/>
    </row>
    <row r="1581" spans="16:17" x14ac:dyDescent="0.25">
      <c r="P1581"/>
      <c r="Q1581"/>
    </row>
    <row r="1582" spans="16:17" x14ac:dyDescent="0.25">
      <c r="P1582"/>
      <c r="Q1582"/>
    </row>
    <row r="1583" spans="16:17" x14ac:dyDescent="0.25">
      <c r="P1583"/>
      <c r="Q1583"/>
    </row>
    <row r="1584" spans="16:17" x14ac:dyDescent="0.25">
      <c r="P1584"/>
      <c r="Q1584"/>
    </row>
    <row r="1585" spans="16:17" x14ac:dyDescent="0.25">
      <c r="P1585"/>
      <c r="Q1585"/>
    </row>
    <row r="1586" spans="16:17" x14ac:dyDescent="0.25">
      <c r="P1586"/>
      <c r="Q1586"/>
    </row>
    <row r="1587" spans="16:17" x14ac:dyDescent="0.25">
      <c r="P1587"/>
      <c r="Q1587"/>
    </row>
    <row r="1588" spans="16:17" x14ac:dyDescent="0.25">
      <c r="P1588"/>
      <c r="Q1588"/>
    </row>
    <row r="1589" spans="16:17" x14ac:dyDescent="0.25">
      <c r="P1589"/>
      <c r="Q1589"/>
    </row>
    <row r="1590" spans="16:17" x14ac:dyDescent="0.25">
      <c r="P1590"/>
      <c r="Q1590"/>
    </row>
    <row r="1591" spans="16:17" x14ac:dyDescent="0.25">
      <c r="P1591"/>
      <c r="Q1591"/>
    </row>
    <row r="1592" spans="16:17" x14ac:dyDescent="0.25">
      <c r="P1592"/>
      <c r="Q1592"/>
    </row>
    <row r="1593" spans="16:17" x14ac:dyDescent="0.25">
      <c r="P1593"/>
      <c r="Q1593"/>
    </row>
    <row r="1594" spans="16:17" x14ac:dyDescent="0.25">
      <c r="P1594"/>
      <c r="Q1594"/>
    </row>
    <row r="1595" spans="16:17" x14ac:dyDescent="0.25">
      <c r="P1595"/>
      <c r="Q1595"/>
    </row>
    <row r="1596" spans="16:17" x14ac:dyDescent="0.25">
      <c r="P1596"/>
      <c r="Q1596"/>
    </row>
    <row r="1597" spans="16:17" x14ac:dyDescent="0.25">
      <c r="P1597"/>
      <c r="Q1597"/>
    </row>
    <row r="1598" spans="16:17" x14ac:dyDescent="0.25">
      <c r="P1598"/>
      <c r="Q1598"/>
    </row>
    <row r="1599" spans="16:17" x14ac:dyDescent="0.25">
      <c r="P1599"/>
      <c r="Q1599"/>
    </row>
    <row r="1600" spans="16:17" x14ac:dyDescent="0.25">
      <c r="P1600"/>
      <c r="Q1600"/>
    </row>
    <row r="1601" spans="16:17" x14ac:dyDescent="0.25">
      <c r="P1601"/>
      <c r="Q1601"/>
    </row>
    <row r="1602" spans="16:17" x14ac:dyDescent="0.25">
      <c r="P1602"/>
      <c r="Q1602"/>
    </row>
    <row r="1603" spans="16:17" x14ac:dyDescent="0.25">
      <c r="P1603"/>
      <c r="Q1603"/>
    </row>
    <row r="1604" spans="16:17" x14ac:dyDescent="0.25">
      <c r="P1604"/>
      <c r="Q1604"/>
    </row>
    <row r="1605" spans="16:17" x14ac:dyDescent="0.25">
      <c r="P1605"/>
      <c r="Q1605"/>
    </row>
    <row r="1606" spans="16:17" x14ac:dyDescent="0.25">
      <c r="P1606"/>
      <c r="Q1606"/>
    </row>
    <row r="1607" spans="16:17" x14ac:dyDescent="0.25">
      <c r="P1607"/>
      <c r="Q1607"/>
    </row>
    <row r="1608" spans="16:17" x14ac:dyDescent="0.25">
      <c r="P1608"/>
      <c r="Q1608"/>
    </row>
    <row r="1609" spans="16:17" x14ac:dyDescent="0.25">
      <c r="P1609"/>
      <c r="Q1609"/>
    </row>
    <row r="1610" spans="16:17" x14ac:dyDescent="0.25">
      <c r="P1610"/>
      <c r="Q1610"/>
    </row>
    <row r="1611" spans="16:17" x14ac:dyDescent="0.25">
      <c r="P1611"/>
      <c r="Q1611"/>
    </row>
    <row r="1612" spans="16:17" x14ac:dyDescent="0.25">
      <c r="P1612"/>
      <c r="Q1612"/>
    </row>
    <row r="1613" spans="16:17" x14ac:dyDescent="0.25">
      <c r="P1613"/>
      <c r="Q1613"/>
    </row>
    <row r="1614" spans="16:17" x14ac:dyDescent="0.25">
      <c r="P1614"/>
      <c r="Q1614"/>
    </row>
    <row r="1615" spans="16:17" x14ac:dyDescent="0.25">
      <c r="P1615"/>
      <c r="Q1615"/>
    </row>
    <row r="1616" spans="16:17" x14ac:dyDescent="0.25">
      <c r="P1616"/>
      <c r="Q1616"/>
    </row>
    <row r="1617" spans="16:17" x14ac:dyDescent="0.25">
      <c r="P1617"/>
      <c r="Q1617"/>
    </row>
    <row r="1618" spans="16:17" x14ac:dyDescent="0.25">
      <c r="P1618"/>
      <c r="Q1618"/>
    </row>
    <row r="1619" spans="16:17" x14ac:dyDescent="0.25">
      <c r="P1619"/>
      <c r="Q1619"/>
    </row>
    <row r="1620" spans="16:17" x14ac:dyDescent="0.25">
      <c r="P1620"/>
      <c r="Q1620"/>
    </row>
    <row r="1621" spans="16:17" x14ac:dyDescent="0.25">
      <c r="P1621"/>
      <c r="Q1621"/>
    </row>
    <row r="1622" spans="16:17" x14ac:dyDescent="0.25">
      <c r="P1622"/>
      <c r="Q1622"/>
    </row>
    <row r="1623" spans="16:17" x14ac:dyDescent="0.25">
      <c r="P1623"/>
      <c r="Q1623"/>
    </row>
    <row r="1624" spans="16:17" x14ac:dyDescent="0.25">
      <c r="P1624"/>
      <c r="Q1624"/>
    </row>
    <row r="1625" spans="16:17" x14ac:dyDescent="0.25">
      <c r="P1625"/>
      <c r="Q1625"/>
    </row>
    <row r="1626" spans="16:17" x14ac:dyDescent="0.25">
      <c r="P1626"/>
      <c r="Q1626"/>
    </row>
    <row r="1627" spans="16:17" x14ac:dyDescent="0.25">
      <c r="P1627"/>
      <c r="Q1627"/>
    </row>
    <row r="1628" spans="16:17" x14ac:dyDescent="0.25">
      <c r="P1628"/>
      <c r="Q1628"/>
    </row>
    <row r="1629" spans="16:17" x14ac:dyDescent="0.25">
      <c r="P1629"/>
      <c r="Q1629"/>
    </row>
    <row r="1630" spans="16:17" x14ac:dyDescent="0.25">
      <c r="P1630"/>
      <c r="Q1630"/>
    </row>
    <row r="1631" spans="16:17" x14ac:dyDescent="0.25">
      <c r="P1631"/>
      <c r="Q1631"/>
    </row>
    <row r="1632" spans="16:17" x14ac:dyDescent="0.25">
      <c r="P1632"/>
      <c r="Q1632"/>
    </row>
    <row r="1633" spans="16:17" x14ac:dyDescent="0.25">
      <c r="P1633"/>
      <c r="Q1633"/>
    </row>
    <row r="1634" spans="16:17" x14ac:dyDescent="0.25">
      <c r="P1634"/>
      <c r="Q1634"/>
    </row>
    <row r="1635" spans="16:17" x14ac:dyDescent="0.25">
      <c r="P1635"/>
      <c r="Q1635"/>
    </row>
    <row r="1636" spans="16:17" x14ac:dyDescent="0.25">
      <c r="P1636"/>
      <c r="Q1636"/>
    </row>
    <row r="1637" spans="16:17" x14ac:dyDescent="0.25">
      <c r="P1637"/>
      <c r="Q1637"/>
    </row>
    <row r="1638" spans="16:17" x14ac:dyDescent="0.25">
      <c r="P1638"/>
      <c r="Q1638"/>
    </row>
    <row r="1639" spans="16:17" x14ac:dyDescent="0.25">
      <c r="P1639"/>
      <c r="Q1639"/>
    </row>
    <row r="1640" spans="16:17" x14ac:dyDescent="0.25">
      <c r="P1640"/>
      <c r="Q1640"/>
    </row>
    <row r="1641" spans="16:17" x14ac:dyDescent="0.25">
      <c r="P1641"/>
      <c r="Q1641"/>
    </row>
    <row r="1642" spans="16:17" x14ac:dyDescent="0.25">
      <c r="P1642"/>
      <c r="Q1642"/>
    </row>
    <row r="1643" spans="16:17" x14ac:dyDescent="0.25">
      <c r="P1643"/>
      <c r="Q1643"/>
    </row>
    <row r="1644" spans="16:17" x14ac:dyDescent="0.25">
      <c r="P1644"/>
      <c r="Q1644"/>
    </row>
    <row r="1645" spans="16:17" x14ac:dyDescent="0.25">
      <c r="P1645"/>
      <c r="Q1645"/>
    </row>
    <row r="1646" spans="16:17" x14ac:dyDescent="0.25">
      <c r="P1646"/>
      <c r="Q1646"/>
    </row>
    <row r="1647" spans="16:17" x14ac:dyDescent="0.25">
      <c r="P1647"/>
      <c r="Q1647"/>
    </row>
    <row r="1648" spans="16:17" x14ac:dyDescent="0.25">
      <c r="P1648"/>
      <c r="Q1648"/>
    </row>
    <row r="1649" spans="16:17" x14ac:dyDescent="0.25">
      <c r="P1649"/>
      <c r="Q1649"/>
    </row>
    <row r="1650" spans="16:17" x14ac:dyDescent="0.25">
      <c r="P1650"/>
      <c r="Q1650"/>
    </row>
    <row r="1651" spans="16:17" x14ac:dyDescent="0.25">
      <c r="P1651"/>
      <c r="Q1651"/>
    </row>
    <row r="1652" spans="16:17" x14ac:dyDescent="0.25">
      <c r="P1652"/>
      <c r="Q1652"/>
    </row>
    <row r="1653" spans="16:17" x14ac:dyDescent="0.25">
      <c r="P1653"/>
      <c r="Q1653"/>
    </row>
    <row r="1654" spans="16:17" x14ac:dyDescent="0.25">
      <c r="P1654"/>
      <c r="Q1654"/>
    </row>
    <row r="1655" spans="16:17" x14ac:dyDescent="0.25">
      <c r="P1655"/>
      <c r="Q1655"/>
    </row>
    <row r="1656" spans="16:17" x14ac:dyDescent="0.25">
      <c r="P1656"/>
      <c r="Q1656"/>
    </row>
    <row r="1657" spans="16:17" x14ac:dyDescent="0.25">
      <c r="P1657"/>
      <c r="Q1657"/>
    </row>
    <row r="1658" spans="16:17" x14ac:dyDescent="0.25">
      <c r="P1658"/>
      <c r="Q1658"/>
    </row>
    <row r="1659" spans="16:17" x14ac:dyDescent="0.25">
      <c r="P1659"/>
      <c r="Q1659"/>
    </row>
    <row r="1660" spans="16:17" x14ac:dyDescent="0.25">
      <c r="P1660"/>
      <c r="Q1660"/>
    </row>
    <row r="1661" spans="16:17" x14ac:dyDescent="0.25">
      <c r="P1661"/>
      <c r="Q1661"/>
    </row>
    <row r="1662" spans="16:17" x14ac:dyDescent="0.25">
      <c r="P1662"/>
      <c r="Q1662"/>
    </row>
    <row r="1663" spans="16:17" x14ac:dyDescent="0.25">
      <c r="P1663"/>
      <c r="Q1663"/>
    </row>
    <row r="1664" spans="16:17" x14ac:dyDescent="0.25">
      <c r="P1664"/>
      <c r="Q1664"/>
    </row>
    <row r="1665" spans="16:17" x14ac:dyDescent="0.25">
      <c r="P1665"/>
      <c r="Q1665"/>
    </row>
    <row r="1666" spans="16:17" x14ac:dyDescent="0.25">
      <c r="P1666"/>
      <c r="Q1666"/>
    </row>
    <row r="1667" spans="16:17" x14ac:dyDescent="0.25">
      <c r="P1667"/>
      <c r="Q1667"/>
    </row>
    <row r="1668" spans="16:17" x14ac:dyDescent="0.25">
      <c r="P1668"/>
      <c r="Q1668"/>
    </row>
    <row r="1669" spans="16:17" x14ac:dyDescent="0.25">
      <c r="P1669"/>
      <c r="Q1669"/>
    </row>
    <row r="1670" spans="16:17" x14ac:dyDescent="0.25">
      <c r="P1670"/>
      <c r="Q1670"/>
    </row>
    <row r="1671" spans="16:17" x14ac:dyDescent="0.25">
      <c r="P1671"/>
      <c r="Q1671"/>
    </row>
    <row r="1672" spans="16:17" x14ac:dyDescent="0.25">
      <c r="P1672"/>
      <c r="Q1672"/>
    </row>
    <row r="1673" spans="16:17" x14ac:dyDescent="0.25">
      <c r="P1673"/>
      <c r="Q1673"/>
    </row>
    <row r="1674" spans="16:17" x14ac:dyDescent="0.25">
      <c r="P1674"/>
      <c r="Q1674"/>
    </row>
    <row r="1675" spans="16:17" x14ac:dyDescent="0.25">
      <c r="P1675"/>
      <c r="Q1675"/>
    </row>
    <row r="1676" spans="16:17" x14ac:dyDescent="0.25">
      <c r="P1676"/>
      <c r="Q1676"/>
    </row>
    <row r="1677" spans="16:17" x14ac:dyDescent="0.25">
      <c r="P1677"/>
      <c r="Q1677"/>
    </row>
    <row r="1678" spans="16:17" x14ac:dyDescent="0.25">
      <c r="P1678"/>
      <c r="Q1678"/>
    </row>
    <row r="1679" spans="16:17" x14ac:dyDescent="0.25">
      <c r="P1679"/>
      <c r="Q1679"/>
    </row>
    <row r="1680" spans="16:17" x14ac:dyDescent="0.25">
      <c r="P1680"/>
      <c r="Q1680"/>
    </row>
    <row r="1681" spans="16:17" x14ac:dyDescent="0.25">
      <c r="P1681"/>
      <c r="Q1681"/>
    </row>
    <row r="1682" spans="16:17" x14ac:dyDescent="0.25">
      <c r="P1682"/>
      <c r="Q1682"/>
    </row>
    <row r="1683" spans="16:17" x14ac:dyDescent="0.25">
      <c r="P1683"/>
      <c r="Q1683"/>
    </row>
    <row r="1684" spans="16:17" x14ac:dyDescent="0.25">
      <c r="P1684"/>
      <c r="Q1684"/>
    </row>
    <row r="1685" spans="16:17" x14ac:dyDescent="0.25">
      <c r="P1685"/>
      <c r="Q1685"/>
    </row>
    <row r="1686" spans="16:17" x14ac:dyDescent="0.25">
      <c r="P1686"/>
      <c r="Q1686"/>
    </row>
    <row r="1687" spans="16:17" x14ac:dyDescent="0.25">
      <c r="P1687"/>
      <c r="Q1687"/>
    </row>
    <row r="1688" spans="16:17" x14ac:dyDescent="0.25">
      <c r="P1688"/>
      <c r="Q1688"/>
    </row>
    <row r="1689" spans="16:17" x14ac:dyDescent="0.25">
      <c r="P1689"/>
      <c r="Q1689"/>
    </row>
    <row r="1690" spans="16:17" x14ac:dyDescent="0.25">
      <c r="P1690"/>
      <c r="Q1690"/>
    </row>
    <row r="1691" spans="16:17" x14ac:dyDescent="0.25">
      <c r="P1691"/>
      <c r="Q1691"/>
    </row>
    <row r="1692" spans="16:17" x14ac:dyDescent="0.25">
      <c r="P1692"/>
      <c r="Q1692"/>
    </row>
    <row r="1693" spans="16:17" x14ac:dyDescent="0.25">
      <c r="P1693"/>
      <c r="Q1693"/>
    </row>
    <row r="1694" spans="16:17" x14ac:dyDescent="0.25">
      <c r="P1694"/>
      <c r="Q1694"/>
    </row>
    <row r="1695" spans="16:17" x14ac:dyDescent="0.25">
      <c r="P1695"/>
      <c r="Q1695"/>
    </row>
    <row r="1696" spans="16:17" x14ac:dyDescent="0.25">
      <c r="P1696"/>
      <c r="Q1696"/>
    </row>
    <row r="1697" spans="16:17" x14ac:dyDescent="0.25">
      <c r="P1697"/>
      <c r="Q1697"/>
    </row>
    <row r="1698" spans="16:17" x14ac:dyDescent="0.25">
      <c r="P1698"/>
      <c r="Q1698"/>
    </row>
    <row r="1699" spans="16:17" x14ac:dyDescent="0.25">
      <c r="P1699"/>
      <c r="Q1699"/>
    </row>
    <row r="1700" spans="16:17" x14ac:dyDescent="0.25">
      <c r="P1700"/>
      <c r="Q1700"/>
    </row>
    <row r="1701" spans="16:17" x14ac:dyDescent="0.25">
      <c r="P1701"/>
      <c r="Q1701"/>
    </row>
    <row r="1702" spans="16:17" x14ac:dyDescent="0.25">
      <c r="P1702"/>
      <c r="Q1702"/>
    </row>
    <row r="1703" spans="16:17" x14ac:dyDescent="0.25">
      <c r="P1703"/>
      <c r="Q1703"/>
    </row>
    <row r="1704" spans="16:17" x14ac:dyDescent="0.25">
      <c r="P1704"/>
      <c r="Q1704"/>
    </row>
    <row r="1705" spans="16:17" x14ac:dyDescent="0.25">
      <c r="P1705"/>
      <c r="Q1705"/>
    </row>
    <row r="1706" spans="16:17" x14ac:dyDescent="0.25">
      <c r="P1706"/>
      <c r="Q1706"/>
    </row>
    <row r="1707" spans="16:17" x14ac:dyDescent="0.25">
      <c r="P1707"/>
      <c r="Q1707"/>
    </row>
    <row r="1708" spans="16:17" x14ac:dyDescent="0.25">
      <c r="P1708"/>
      <c r="Q1708"/>
    </row>
    <row r="1709" spans="16:17" x14ac:dyDescent="0.25">
      <c r="P1709"/>
      <c r="Q1709"/>
    </row>
    <row r="1710" spans="16:17" x14ac:dyDescent="0.25">
      <c r="P1710"/>
      <c r="Q1710"/>
    </row>
    <row r="1711" spans="16:17" x14ac:dyDescent="0.25">
      <c r="P1711"/>
      <c r="Q1711"/>
    </row>
    <row r="1712" spans="16:17" x14ac:dyDescent="0.25">
      <c r="P1712"/>
      <c r="Q1712"/>
    </row>
    <row r="1713" spans="16:17" x14ac:dyDescent="0.25">
      <c r="P1713"/>
      <c r="Q1713"/>
    </row>
    <row r="1714" spans="16:17" x14ac:dyDescent="0.25">
      <c r="P1714"/>
      <c r="Q1714"/>
    </row>
    <row r="1715" spans="16:17" x14ac:dyDescent="0.25">
      <c r="P1715"/>
      <c r="Q1715"/>
    </row>
    <row r="1716" spans="16:17" x14ac:dyDescent="0.25">
      <c r="P1716"/>
      <c r="Q1716"/>
    </row>
    <row r="1717" spans="16:17" x14ac:dyDescent="0.25">
      <c r="P1717"/>
      <c r="Q1717"/>
    </row>
    <row r="1718" spans="16:17" x14ac:dyDescent="0.25">
      <c r="P1718"/>
      <c r="Q1718"/>
    </row>
    <row r="1719" spans="16:17" x14ac:dyDescent="0.25">
      <c r="P1719"/>
      <c r="Q1719"/>
    </row>
    <row r="1720" spans="16:17" x14ac:dyDescent="0.25">
      <c r="P1720"/>
      <c r="Q1720"/>
    </row>
    <row r="1721" spans="16:17" x14ac:dyDescent="0.25">
      <c r="P1721"/>
      <c r="Q1721"/>
    </row>
    <row r="1722" spans="16:17" x14ac:dyDescent="0.25">
      <c r="P1722"/>
      <c r="Q1722"/>
    </row>
    <row r="1723" spans="16:17" x14ac:dyDescent="0.25">
      <c r="P1723"/>
      <c r="Q1723"/>
    </row>
    <row r="1724" spans="16:17" x14ac:dyDescent="0.25">
      <c r="P1724"/>
      <c r="Q1724"/>
    </row>
    <row r="1725" spans="16:17" x14ac:dyDescent="0.25">
      <c r="P1725"/>
      <c r="Q1725"/>
    </row>
    <row r="1726" spans="16:17" x14ac:dyDescent="0.25">
      <c r="P1726"/>
      <c r="Q1726"/>
    </row>
    <row r="1727" spans="16:17" x14ac:dyDescent="0.25">
      <c r="P1727"/>
      <c r="Q1727"/>
    </row>
    <row r="1728" spans="16:17" x14ac:dyDescent="0.25">
      <c r="P1728"/>
      <c r="Q1728"/>
    </row>
    <row r="1729" spans="16:17" x14ac:dyDescent="0.25">
      <c r="P1729"/>
      <c r="Q1729"/>
    </row>
    <row r="1730" spans="16:17" x14ac:dyDescent="0.25">
      <c r="P1730"/>
      <c r="Q1730"/>
    </row>
    <row r="1731" spans="16:17" x14ac:dyDescent="0.25">
      <c r="P1731"/>
      <c r="Q1731"/>
    </row>
    <row r="1732" spans="16:17" x14ac:dyDescent="0.25">
      <c r="P1732"/>
      <c r="Q1732"/>
    </row>
    <row r="1733" spans="16:17" x14ac:dyDescent="0.25">
      <c r="P1733"/>
      <c r="Q1733"/>
    </row>
    <row r="1734" spans="16:17" x14ac:dyDescent="0.25">
      <c r="P1734"/>
      <c r="Q1734"/>
    </row>
    <row r="1735" spans="16:17" x14ac:dyDescent="0.25">
      <c r="P1735"/>
      <c r="Q1735"/>
    </row>
    <row r="1736" spans="16:17" x14ac:dyDescent="0.25">
      <c r="P1736"/>
      <c r="Q1736"/>
    </row>
    <row r="1737" spans="16:17" x14ac:dyDescent="0.25">
      <c r="P1737"/>
      <c r="Q1737"/>
    </row>
    <row r="1738" spans="16:17" x14ac:dyDescent="0.25">
      <c r="P1738"/>
      <c r="Q1738"/>
    </row>
    <row r="1739" spans="16:17" x14ac:dyDescent="0.25">
      <c r="P1739"/>
      <c r="Q1739"/>
    </row>
    <row r="1740" spans="16:17" x14ac:dyDescent="0.25">
      <c r="P1740"/>
      <c r="Q1740"/>
    </row>
    <row r="1741" spans="16:17" x14ac:dyDescent="0.25">
      <c r="P1741"/>
      <c r="Q1741"/>
    </row>
    <row r="1742" spans="16:17" x14ac:dyDescent="0.25">
      <c r="P1742"/>
      <c r="Q1742"/>
    </row>
    <row r="1743" spans="16:17" x14ac:dyDescent="0.25">
      <c r="P1743"/>
      <c r="Q1743"/>
    </row>
    <row r="1744" spans="16:17" x14ac:dyDescent="0.25">
      <c r="P1744"/>
      <c r="Q1744"/>
    </row>
    <row r="1745" spans="16:17" x14ac:dyDescent="0.25">
      <c r="P1745"/>
      <c r="Q1745"/>
    </row>
    <row r="1746" spans="16:17" x14ac:dyDescent="0.25">
      <c r="P1746"/>
      <c r="Q1746"/>
    </row>
    <row r="1747" spans="16:17" x14ac:dyDescent="0.25">
      <c r="P1747"/>
      <c r="Q1747"/>
    </row>
    <row r="1748" spans="16:17" x14ac:dyDescent="0.25">
      <c r="P1748"/>
      <c r="Q1748"/>
    </row>
    <row r="1749" spans="16:17" x14ac:dyDescent="0.25">
      <c r="P1749"/>
      <c r="Q1749"/>
    </row>
    <row r="1750" spans="16:17" x14ac:dyDescent="0.25">
      <c r="P1750"/>
      <c r="Q1750"/>
    </row>
    <row r="1751" spans="16:17" x14ac:dyDescent="0.25">
      <c r="P1751"/>
      <c r="Q1751"/>
    </row>
    <row r="1752" spans="16:17" x14ac:dyDescent="0.25">
      <c r="P1752"/>
      <c r="Q1752"/>
    </row>
    <row r="1753" spans="16:17" x14ac:dyDescent="0.25">
      <c r="P1753"/>
      <c r="Q1753"/>
    </row>
    <row r="1754" spans="16:17" x14ac:dyDescent="0.25">
      <c r="P1754"/>
      <c r="Q1754"/>
    </row>
    <row r="1755" spans="16:17" x14ac:dyDescent="0.25">
      <c r="P1755"/>
      <c r="Q1755"/>
    </row>
    <row r="1756" spans="16:17" x14ac:dyDescent="0.25">
      <c r="P1756"/>
      <c r="Q1756"/>
    </row>
    <row r="1757" spans="16:17" x14ac:dyDescent="0.25">
      <c r="P1757"/>
      <c r="Q1757"/>
    </row>
    <row r="1758" spans="16:17" x14ac:dyDescent="0.25">
      <c r="P1758"/>
      <c r="Q1758"/>
    </row>
    <row r="1759" spans="16:17" x14ac:dyDescent="0.25">
      <c r="P1759"/>
      <c r="Q1759"/>
    </row>
    <row r="1760" spans="16:17" x14ac:dyDescent="0.25">
      <c r="P1760"/>
      <c r="Q1760"/>
    </row>
    <row r="1761" spans="16:17" x14ac:dyDescent="0.25">
      <c r="P1761"/>
      <c r="Q1761"/>
    </row>
    <row r="1762" spans="16:17" x14ac:dyDescent="0.25">
      <c r="P1762"/>
      <c r="Q1762"/>
    </row>
    <row r="1763" spans="16:17" x14ac:dyDescent="0.25">
      <c r="P1763"/>
      <c r="Q1763"/>
    </row>
    <row r="1764" spans="16:17" x14ac:dyDescent="0.25">
      <c r="P1764"/>
      <c r="Q1764"/>
    </row>
    <row r="1765" spans="16:17" x14ac:dyDescent="0.25">
      <c r="P1765"/>
      <c r="Q1765"/>
    </row>
    <row r="1766" spans="16:17" x14ac:dyDescent="0.25">
      <c r="P1766"/>
      <c r="Q1766"/>
    </row>
    <row r="1767" spans="16:17" x14ac:dyDescent="0.25">
      <c r="P1767"/>
      <c r="Q1767"/>
    </row>
    <row r="1768" spans="16:17" x14ac:dyDescent="0.25">
      <c r="P1768"/>
      <c r="Q1768"/>
    </row>
    <row r="1769" spans="16:17" x14ac:dyDescent="0.25">
      <c r="P1769"/>
      <c r="Q1769"/>
    </row>
    <row r="1770" spans="16:17" x14ac:dyDescent="0.25">
      <c r="P1770"/>
      <c r="Q1770"/>
    </row>
    <row r="1771" spans="16:17" x14ac:dyDescent="0.25">
      <c r="P1771"/>
      <c r="Q1771"/>
    </row>
    <row r="1772" spans="16:17" x14ac:dyDescent="0.25">
      <c r="P1772"/>
      <c r="Q1772"/>
    </row>
    <row r="1773" spans="16:17" x14ac:dyDescent="0.25">
      <c r="P1773"/>
      <c r="Q1773"/>
    </row>
    <row r="1774" spans="16:17" x14ac:dyDescent="0.25">
      <c r="P1774"/>
      <c r="Q1774"/>
    </row>
    <row r="1775" spans="16:17" x14ac:dyDescent="0.25">
      <c r="P1775"/>
      <c r="Q1775"/>
    </row>
    <row r="1776" spans="16:17" x14ac:dyDescent="0.25">
      <c r="P1776"/>
      <c r="Q1776"/>
    </row>
    <row r="1777" spans="16:17" x14ac:dyDescent="0.25">
      <c r="P1777"/>
      <c r="Q1777"/>
    </row>
    <row r="1778" spans="16:17" x14ac:dyDescent="0.25">
      <c r="P1778"/>
      <c r="Q1778"/>
    </row>
    <row r="1779" spans="16:17" x14ac:dyDescent="0.25">
      <c r="P1779"/>
      <c r="Q1779"/>
    </row>
    <row r="1780" spans="16:17" x14ac:dyDescent="0.25">
      <c r="P1780"/>
      <c r="Q1780"/>
    </row>
    <row r="1781" spans="16:17" x14ac:dyDescent="0.25">
      <c r="P1781"/>
      <c r="Q1781"/>
    </row>
    <row r="1782" spans="16:17" x14ac:dyDescent="0.25">
      <c r="P1782"/>
      <c r="Q1782"/>
    </row>
    <row r="1783" spans="16:17" x14ac:dyDescent="0.25">
      <c r="P1783"/>
      <c r="Q1783"/>
    </row>
    <row r="1784" spans="16:17" x14ac:dyDescent="0.25">
      <c r="P1784"/>
      <c r="Q1784"/>
    </row>
    <row r="1785" spans="16:17" x14ac:dyDescent="0.25">
      <c r="P1785"/>
      <c r="Q1785"/>
    </row>
    <row r="1786" spans="16:17" x14ac:dyDescent="0.25">
      <c r="P1786"/>
      <c r="Q1786"/>
    </row>
    <row r="1787" spans="16:17" x14ac:dyDescent="0.25">
      <c r="P1787"/>
      <c r="Q1787"/>
    </row>
    <row r="1788" spans="16:17" x14ac:dyDescent="0.25">
      <c r="P1788"/>
      <c r="Q1788"/>
    </row>
    <row r="1789" spans="16:17" x14ac:dyDescent="0.25">
      <c r="P1789"/>
      <c r="Q1789"/>
    </row>
    <row r="1790" spans="16:17" x14ac:dyDescent="0.25">
      <c r="P1790"/>
      <c r="Q1790"/>
    </row>
    <row r="1791" spans="16:17" x14ac:dyDescent="0.25">
      <c r="P1791"/>
      <c r="Q1791"/>
    </row>
    <row r="1792" spans="16:17" x14ac:dyDescent="0.25">
      <c r="P1792"/>
      <c r="Q1792"/>
    </row>
    <row r="1793" spans="16:17" x14ac:dyDescent="0.25">
      <c r="P1793"/>
      <c r="Q1793"/>
    </row>
    <row r="1794" spans="16:17" x14ac:dyDescent="0.25">
      <c r="P1794"/>
      <c r="Q1794"/>
    </row>
    <row r="1795" spans="16:17" x14ac:dyDescent="0.25">
      <c r="P1795"/>
      <c r="Q1795"/>
    </row>
    <row r="1796" spans="16:17" x14ac:dyDescent="0.25">
      <c r="P1796"/>
      <c r="Q1796"/>
    </row>
    <row r="1797" spans="16:17" x14ac:dyDescent="0.25">
      <c r="P1797"/>
      <c r="Q1797"/>
    </row>
    <row r="1798" spans="16:17" x14ac:dyDescent="0.25">
      <c r="P1798"/>
      <c r="Q1798"/>
    </row>
    <row r="1799" spans="16:17" x14ac:dyDescent="0.25">
      <c r="P1799"/>
      <c r="Q1799"/>
    </row>
    <row r="1800" spans="16:17" x14ac:dyDescent="0.25">
      <c r="P1800"/>
      <c r="Q1800"/>
    </row>
    <row r="1801" spans="16:17" x14ac:dyDescent="0.25">
      <c r="P1801"/>
      <c r="Q1801"/>
    </row>
    <row r="1802" spans="16:17" x14ac:dyDescent="0.25">
      <c r="P1802"/>
      <c r="Q1802"/>
    </row>
    <row r="1803" spans="16:17" x14ac:dyDescent="0.25">
      <c r="P1803"/>
      <c r="Q1803"/>
    </row>
    <row r="1804" spans="16:17" x14ac:dyDescent="0.25">
      <c r="P1804"/>
      <c r="Q1804"/>
    </row>
    <row r="1805" spans="16:17" x14ac:dyDescent="0.25">
      <c r="P1805"/>
      <c r="Q1805"/>
    </row>
    <row r="1806" spans="16:17" x14ac:dyDescent="0.25">
      <c r="P1806"/>
      <c r="Q1806"/>
    </row>
    <row r="1807" spans="16:17" x14ac:dyDescent="0.25">
      <c r="P1807"/>
      <c r="Q1807"/>
    </row>
    <row r="1808" spans="16:17" x14ac:dyDescent="0.25">
      <c r="P1808"/>
      <c r="Q1808"/>
    </row>
    <row r="1809" spans="16:17" x14ac:dyDescent="0.25">
      <c r="P1809"/>
      <c r="Q1809"/>
    </row>
    <row r="1810" spans="16:17" x14ac:dyDescent="0.25">
      <c r="P1810"/>
      <c r="Q1810"/>
    </row>
    <row r="1811" spans="16:17" x14ac:dyDescent="0.25">
      <c r="P1811"/>
      <c r="Q1811"/>
    </row>
    <row r="1812" spans="16:17" x14ac:dyDescent="0.25">
      <c r="P1812"/>
      <c r="Q1812"/>
    </row>
    <row r="1813" spans="16:17" x14ac:dyDescent="0.25">
      <c r="P1813"/>
      <c r="Q1813"/>
    </row>
    <row r="1814" spans="16:17" x14ac:dyDescent="0.25">
      <c r="P1814"/>
      <c r="Q1814"/>
    </row>
    <row r="1815" spans="16:17" x14ac:dyDescent="0.25">
      <c r="P1815"/>
      <c r="Q1815"/>
    </row>
    <row r="1816" spans="16:17" x14ac:dyDescent="0.25">
      <c r="P1816"/>
      <c r="Q1816"/>
    </row>
    <row r="1817" spans="16:17" x14ac:dyDescent="0.25">
      <c r="P1817"/>
      <c r="Q1817"/>
    </row>
    <row r="1818" spans="16:17" x14ac:dyDescent="0.25">
      <c r="P1818"/>
      <c r="Q1818"/>
    </row>
    <row r="1819" spans="16:17" x14ac:dyDescent="0.25">
      <c r="P1819"/>
      <c r="Q1819"/>
    </row>
    <row r="1820" spans="16:17" x14ac:dyDescent="0.25">
      <c r="P1820"/>
      <c r="Q1820"/>
    </row>
    <row r="1821" spans="16:17" x14ac:dyDescent="0.25">
      <c r="P1821"/>
      <c r="Q1821"/>
    </row>
    <row r="1822" spans="16:17" x14ac:dyDescent="0.25">
      <c r="P1822"/>
      <c r="Q1822"/>
    </row>
    <row r="1823" spans="16:17" x14ac:dyDescent="0.25">
      <c r="P1823"/>
      <c r="Q1823"/>
    </row>
    <row r="1824" spans="16:17" x14ac:dyDescent="0.25">
      <c r="P1824"/>
      <c r="Q1824"/>
    </row>
    <row r="1825" spans="16:17" x14ac:dyDescent="0.25">
      <c r="P1825"/>
      <c r="Q1825"/>
    </row>
    <row r="1826" spans="16:17" x14ac:dyDescent="0.25">
      <c r="P1826"/>
      <c r="Q1826"/>
    </row>
    <row r="1827" spans="16:17" x14ac:dyDescent="0.25">
      <c r="P1827"/>
      <c r="Q1827"/>
    </row>
    <row r="1828" spans="16:17" x14ac:dyDescent="0.25">
      <c r="P1828"/>
      <c r="Q1828"/>
    </row>
    <row r="1829" spans="16:17" x14ac:dyDescent="0.25">
      <c r="P1829"/>
      <c r="Q1829"/>
    </row>
    <row r="1830" spans="16:17" x14ac:dyDescent="0.25">
      <c r="P1830"/>
      <c r="Q1830"/>
    </row>
    <row r="1831" spans="16:17" x14ac:dyDescent="0.25">
      <c r="P1831"/>
      <c r="Q1831"/>
    </row>
    <row r="1832" spans="16:17" x14ac:dyDescent="0.25">
      <c r="P1832"/>
      <c r="Q1832"/>
    </row>
    <row r="1833" spans="16:17" x14ac:dyDescent="0.25">
      <c r="P1833"/>
      <c r="Q1833"/>
    </row>
    <row r="1834" spans="16:17" x14ac:dyDescent="0.25">
      <c r="P1834"/>
      <c r="Q1834"/>
    </row>
    <row r="1835" spans="16:17" x14ac:dyDescent="0.25">
      <c r="P1835"/>
      <c r="Q1835"/>
    </row>
    <row r="1836" spans="16:17" x14ac:dyDescent="0.25">
      <c r="P1836"/>
      <c r="Q1836"/>
    </row>
    <row r="1837" spans="16:17" x14ac:dyDescent="0.25">
      <c r="P1837"/>
      <c r="Q1837"/>
    </row>
    <row r="1838" spans="16:17" x14ac:dyDescent="0.25">
      <c r="P1838"/>
      <c r="Q1838"/>
    </row>
    <row r="1839" spans="16:17" x14ac:dyDescent="0.25">
      <c r="P1839"/>
      <c r="Q1839"/>
    </row>
    <row r="1840" spans="16:17" x14ac:dyDescent="0.25">
      <c r="P1840"/>
      <c r="Q1840"/>
    </row>
    <row r="1841" spans="16:17" x14ac:dyDescent="0.25">
      <c r="P1841"/>
      <c r="Q1841"/>
    </row>
    <row r="1842" spans="16:17" x14ac:dyDescent="0.25">
      <c r="P1842"/>
      <c r="Q1842"/>
    </row>
    <row r="1843" spans="16:17" x14ac:dyDescent="0.25">
      <c r="P1843"/>
      <c r="Q1843"/>
    </row>
    <row r="1844" spans="16:17" x14ac:dyDescent="0.25">
      <c r="P1844"/>
      <c r="Q1844"/>
    </row>
    <row r="1845" spans="16:17" x14ac:dyDescent="0.25">
      <c r="P1845"/>
      <c r="Q1845"/>
    </row>
    <row r="1846" spans="16:17" x14ac:dyDescent="0.25">
      <c r="P1846"/>
      <c r="Q1846"/>
    </row>
    <row r="1847" spans="16:17" x14ac:dyDescent="0.25">
      <c r="P1847"/>
      <c r="Q1847"/>
    </row>
    <row r="1848" spans="16:17" x14ac:dyDescent="0.25">
      <c r="P1848"/>
      <c r="Q1848"/>
    </row>
    <row r="1849" spans="16:17" x14ac:dyDescent="0.25">
      <c r="P1849"/>
      <c r="Q1849"/>
    </row>
    <row r="1850" spans="16:17" x14ac:dyDescent="0.25">
      <c r="P1850"/>
      <c r="Q1850"/>
    </row>
    <row r="1851" spans="16:17" x14ac:dyDescent="0.25">
      <c r="P1851"/>
      <c r="Q1851"/>
    </row>
    <row r="1852" spans="16:17" x14ac:dyDescent="0.25">
      <c r="P1852"/>
      <c r="Q1852"/>
    </row>
    <row r="1853" spans="16:17" x14ac:dyDescent="0.25">
      <c r="P1853"/>
      <c r="Q1853"/>
    </row>
    <row r="1854" spans="16:17" x14ac:dyDescent="0.25">
      <c r="P1854"/>
      <c r="Q1854"/>
    </row>
    <row r="1855" spans="16:17" x14ac:dyDescent="0.25">
      <c r="P1855"/>
      <c r="Q1855"/>
    </row>
    <row r="1856" spans="16:17" x14ac:dyDescent="0.25">
      <c r="P1856"/>
      <c r="Q1856"/>
    </row>
    <row r="1857" spans="16:17" x14ac:dyDescent="0.25">
      <c r="P1857"/>
      <c r="Q1857"/>
    </row>
    <row r="1858" spans="16:17" x14ac:dyDescent="0.25">
      <c r="P1858"/>
      <c r="Q1858"/>
    </row>
    <row r="1859" spans="16:17" x14ac:dyDescent="0.25">
      <c r="P1859"/>
      <c r="Q1859"/>
    </row>
    <row r="1860" spans="16:17" x14ac:dyDescent="0.25">
      <c r="P1860"/>
      <c r="Q1860"/>
    </row>
    <row r="1861" spans="16:17" x14ac:dyDescent="0.25">
      <c r="P1861"/>
      <c r="Q1861"/>
    </row>
    <row r="1862" spans="16:17" x14ac:dyDescent="0.25">
      <c r="P1862"/>
      <c r="Q1862"/>
    </row>
    <row r="1863" spans="16:17" x14ac:dyDescent="0.25">
      <c r="P1863"/>
      <c r="Q1863"/>
    </row>
    <row r="1864" spans="16:17" x14ac:dyDescent="0.25">
      <c r="P1864"/>
      <c r="Q1864"/>
    </row>
    <row r="1865" spans="16:17" x14ac:dyDescent="0.25">
      <c r="P1865"/>
      <c r="Q1865"/>
    </row>
    <row r="1866" spans="16:17" x14ac:dyDescent="0.25">
      <c r="P1866"/>
      <c r="Q1866"/>
    </row>
    <row r="1867" spans="16:17" x14ac:dyDescent="0.25">
      <c r="P1867"/>
      <c r="Q1867"/>
    </row>
    <row r="1868" spans="16:17" x14ac:dyDescent="0.25">
      <c r="P1868"/>
      <c r="Q1868"/>
    </row>
    <row r="1869" spans="16:17" x14ac:dyDescent="0.25">
      <c r="P1869"/>
      <c r="Q1869"/>
    </row>
    <row r="1870" spans="16:17" x14ac:dyDescent="0.25">
      <c r="P1870"/>
      <c r="Q1870"/>
    </row>
    <row r="1871" spans="16:17" x14ac:dyDescent="0.25">
      <c r="P1871"/>
      <c r="Q1871"/>
    </row>
    <row r="1872" spans="16:17" x14ac:dyDescent="0.25">
      <c r="P1872"/>
      <c r="Q1872"/>
    </row>
    <row r="1873" spans="16:17" x14ac:dyDescent="0.25">
      <c r="P1873"/>
      <c r="Q1873"/>
    </row>
    <row r="1874" spans="16:17" x14ac:dyDescent="0.25">
      <c r="P1874"/>
      <c r="Q1874"/>
    </row>
    <row r="1875" spans="16:17" x14ac:dyDescent="0.25">
      <c r="P1875"/>
      <c r="Q1875"/>
    </row>
    <row r="1876" spans="16:17" x14ac:dyDescent="0.25">
      <c r="P1876"/>
      <c r="Q1876"/>
    </row>
    <row r="1877" spans="16:17" x14ac:dyDescent="0.25">
      <c r="P1877"/>
      <c r="Q1877"/>
    </row>
    <row r="1878" spans="16:17" x14ac:dyDescent="0.25">
      <c r="P1878"/>
      <c r="Q1878"/>
    </row>
    <row r="1879" spans="16:17" x14ac:dyDescent="0.25">
      <c r="P1879"/>
      <c r="Q1879"/>
    </row>
    <row r="1880" spans="16:17" x14ac:dyDescent="0.25">
      <c r="P1880"/>
      <c r="Q1880"/>
    </row>
    <row r="1881" spans="16:17" x14ac:dyDescent="0.25">
      <c r="P1881"/>
      <c r="Q1881"/>
    </row>
    <row r="1882" spans="16:17" x14ac:dyDescent="0.25">
      <c r="P1882"/>
      <c r="Q1882"/>
    </row>
    <row r="1883" spans="16:17" x14ac:dyDescent="0.25">
      <c r="P1883"/>
      <c r="Q1883"/>
    </row>
    <row r="1884" spans="16:17" x14ac:dyDescent="0.25">
      <c r="P1884"/>
      <c r="Q1884"/>
    </row>
    <row r="1885" spans="16:17" x14ac:dyDescent="0.25">
      <c r="P1885"/>
      <c r="Q1885"/>
    </row>
    <row r="1886" spans="16:17" x14ac:dyDescent="0.25">
      <c r="P1886"/>
      <c r="Q1886"/>
    </row>
    <row r="1887" spans="16:17" x14ac:dyDescent="0.25">
      <c r="P1887"/>
      <c r="Q1887"/>
    </row>
    <row r="1888" spans="16:17" x14ac:dyDescent="0.25">
      <c r="P1888"/>
      <c r="Q1888"/>
    </row>
    <row r="1889" spans="16:17" x14ac:dyDescent="0.25">
      <c r="P1889"/>
      <c r="Q1889"/>
    </row>
    <row r="1890" spans="16:17" x14ac:dyDescent="0.25">
      <c r="P1890"/>
      <c r="Q1890"/>
    </row>
    <row r="1891" spans="16:17" x14ac:dyDescent="0.25">
      <c r="P1891"/>
      <c r="Q1891"/>
    </row>
    <row r="1892" spans="16:17" x14ac:dyDescent="0.25">
      <c r="P1892"/>
      <c r="Q1892"/>
    </row>
    <row r="1893" spans="16:17" x14ac:dyDescent="0.25">
      <c r="P1893"/>
      <c r="Q1893"/>
    </row>
    <row r="1894" spans="16:17" x14ac:dyDescent="0.25">
      <c r="P1894"/>
      <c r="Q1894"/>
    </row>
    <row r="1895" spans="16:17" x14ac:dyDescent="0.25">
      <c r="P1895"/>
      <c r="Q1895"/>
    </row>
    <row r="1896" spans="16:17" x14ac:dyDescent="0.25">
      <c r="P1896"/>
      <c r="Q1896"/>
    </row>
    <row r="1897" spans="16:17" x14ac:dyDescent="0.25">
      <c r="P1897"/>
      <c r="Q1897"/>
    </row>
    <row r="1898" spans="16:17" x14ac:dyDescent="0.25">
      <c r="P1898"/>
      <c r="Q1898"/>
    </row>
    <row r="1899" spans="16:17" x14ac:dyDescent="0.25">
      <c r="P1899"/>
      <c r="Q1899"/>
    </row>
    <row r="1900" spans="16:17" x14ac:dyDescent="0.25">
      <c r="P1900"/>
      <c r="Q1900"/>
    </row>
    <row r="1901" spans="16:17" x14ac:dyDescent="0.25">
      <c r="P1901"/>
      <c r="Q1901"/>
    </row>
    <row r="1902" spans="16:17" x14ac:dyDescent="0.25">
      <c r="P1902"/>
      <c r="Q1902"/>
    </row>
    <row r="1903" spans="16:17" x14ac:dyDescent="0.25">
      <c r="P1903"/>
      <c r="Q1903"/>
    </row>
    <row r="1904" spans="16:17" x14ac:dyDescent="0.25">
      <c r="P1904"/>
      <c r="Q1904"/>
    </row>
    <row r="1905" spans="16:17" x14ac:dyDescent="0.25">
      <c r="P1905"/>
      <c r="Q1905"/>
    </row>
    <row r="1906" spans="16:17" x14ac:dyDescent="0.25">
      <c r="P1906"/>
      <c r="Q1906"/>
    </row>
    <row r="1907" spans="16:17" x14ac:dyDescent="0.25">
      <c r="P1907"/>
      <c r="Q1907"/>
    </row>
    <row r="1908" spans="16:17" x14ac:dyDescent="0.25">
      <c r="P1908"/>
      <c r="Q1908"/>
    </row>
    <row r="1909" spans="16:17" x14ac:dyDescent="0.25">
      <c r="P1909"/>
      <c r="Q1909"/>
    </row>
    <row r="1910" spans="16:17" x14ac:dyDescent="0.25">
      <c r="P1910"/>
      <c r="Q1910"/>
    </row>
    <row r="1911" spans="16:17" x14ac:dyDescent="0.25">
      <c r="P1911"/>
      <c r="Q1911"/>
    </row>
    <row r="1912" spans="16:17" x14ac:dyDescent="0.25">
      <c r="P1912"/>
      <c r="Q1912"/>
    </row>
    <row r="1913" spans="16:17" x14ac:dyDescent="0.25">
      <c r="P1913"/>
      <c r="Q1913"/>
    </row>
    <row r="1914" spans="16:17" x14ac:dyDescent="0.25">
      <c r="P1914"/>
      <c r="Q1914"/>
    </row>
    <row r="1915" spans="16:17" x14ac:dyDescent="0.25">
      <c r="P1915"/>
      <c r="Q1915"/>
    </row>
    <row r="1916" spans="16:17" x14ac:dyDescent="0.25">
      <c r="P1916"/>
      <c r="Q1916"/>
    </row>
    <row r="1917" spans="16:17" x14ac:dyDescent="0.25">
      <c r="P1917"/>
      <c r="Q1917"/>
    </row>
    <row r="1918" spans="16:17" x14ac:dyDescent="0.25">
      <c r="P1918"/>
      <c r="Q1918"/>
    </row>
    <row r="1919" spans="16:17" x14ac:dyDescent="0.25">
      <c r="P1919"/>
      <c r="Q1919"/>
    </row>
    <row r="1920" spans="16:17" x14ac:dyDescent="0.25">
      <c r="P1920"/>
      <c r="Q1920"/>
    </row>
    <row r="1921" spans="16:17" x14ac:dyDescent="0.25">
      <c r="P1921"/>
      <c r="Q1921"/>
    </row>
    <row r="1922" spans="16:17" x14ac:dyDescent="0.25">
      <c r="P1922"/>
      <c r="Q1922"/>
    </row>
    <row r="1923" spans="16:17" x14ac:dyDescent="0.25">
      <c r="P1923"/>
      <c r="Q1923"/>
    </row>
    <row r="1924" spans="16:17" x14ac:dyDescent="0.25">
      <c r="P1924"/>
      <c r="Q1924"/>
    </row>
    <row r="1925" spans="16:17" x14ac:dyDescent="0.25">
      <c r="P1925"/>
      <c r="Q1925"/>
    </row>
    <row r="1926" spans="16:17" x14ac:dyDescent="0.25">
      <c r="P1926"/>
      <c r="Q1926"/>
    </row>
    <row r="1927" spans="16:17" x14ac:dyDescent="0.25">
      <c r="P1927"/>
      <c r="Q1927"/>
    </row>
    <row r="1928" spans="16:17" x14ac:dyDescent="0.25">
      <c r="P1928"/>
      <c r="Q1928"/>
    </row>
    <row r="1929" spans="16:17" x14ac:dyDescent="0.25">
      <c r="P1929"/>
      <c r="Q1929"/>
    </row>
    <row r="1930" spans="16:17" x14ac:dyDescent="0.25">
      <c r="P1930"/>
      <c r="Q1930"/>
    </row>
    <row r="1931" spans="16:17" x14ac:dyDescent="0.25">
      <c r="P1931"/>
      <c r="Q1931"/>
    </row>
    <row r="1932" spans="16:17" x14ac:dyDescent="0.25">
      <c r="P1932"/>
      <c r="Q1932"/>
    </row>
    <row r="1933" spans="16:17" x14ac:dyDescent="0.25">
      <c r="P1933"/>
      <c r="Q1933"/>
    </row>
    <row r="1934" spans="16:17" x14ac:dyDescent="0.25">
      <c r="P1934"/>
      <c r="Q1934"/>
    </row>
    <row r="1935" spans="16:17" x14ac:dyDescent="0.25">
      <c r="P1935"/>
      <c r="Q1935"/>
    </row>
    <row r="1936" spans="16:17" x14ac:dyDescent="0.25">
      <c r="P1936"/>
      <c r="Q1936"/>
    </row>
    <row r="1937" spans="16:17" x14ac:dyDescent="0.25">
      <c r="P1937"/>
      <c r="Q1937"/>
    </row>
    <row r="1938" spans="16:17" x14ac:dyDescent="0.25">
      <c r="P1938"/>
      <c r="Q1938"/>
    </row>
    <row r="1939" spans="16:17" x14ac:dyDescent="0.25">
      <c r="P1939"/>
      <c r="Q1939"/>
    </row>
    <row r="1940" spans="16:17" x14ac:dyDescent="0.25">
      <c r="P1940"/>
      <c r="Q1940"/>
    </row>
    <row r="1941" spans="16:17" x14ac:dyDescent="0.25">
      <c r="P1941"/>
      <c r="Q1941"/>
    </row>
    <row r="1942" spans="16:17" x14ac:dyDescent="0.25">
      <c r="P1942"/>
      <c r="Q1942"/>
    </row>
    <row r="1943" spans="16:17" x14ac:dyDescent="0.25">
      <c r="P1943"/>
      <c r="Q1943"/>
    </row>
    <row r="1944" spans="16:17" x14ac:dyDescent="0.25">
      <c r="P1944"/>
      <c r="Q1944"/>
    </row>
    <row r="1945" spans="16:17" x14ac:dyDescent="0.25">
      <c r="P1945"/>
      <c r="Q1945"/>
    </row>
    <row r="1946" spans="16:17" x14ac:dyDescent="0.25">
      <c r="P1946"/>
      <c r="Q1946"/>
    </row>
    <row r="1947" spans="16:17" x14ac:dyDescent="0.25">
      <c r="P1947"/>
      <c r="Q1947"/>
    </row>
    <row r="1948" spans="16:17" x14ac:dyDescent="0.25">
      <c r="P1948"/>
      <c r="Q1948"/>
    </row>
    <row r="1949" spans="16:17" x14ac:dyDescent="0.25">
      <c r="P1949"/>
      <c r="Q1949"/>
    </row>
    <row r="1950" spans="16:17" x14ac:dyDescent="0.25">
      <c r="P1950"/>
      <c r="Q1950"/>
    </row>
    <row r="1951" spans="16:17" x14ac:dyDescent="0.25">
      <c r="P1951"/>
      <c r="Q1951"/>
    </row>
    <row r="1952" spans="16:17" x14ac:dyDescent="0.25">
      <c r="P1952"/>
      <c r="Q1952"/>
    </row>
    <row r="1953" spans="16:17" x14ac:dyDescent="0.25">
      <c r="P1953"/>
      <c r="Q1953"/>
    </row>
    <row r="1954" spans="16:17" x14ac:dyDescent="0.25">
      <c r="P1954"/>
      <c r="Q1954"/>
    </row>
    <row r="1955" spans="16:17" x14ac:dyDescent="0.25">
      <c r="P1955"/>
      <c r="Q1955"/>
    </row>
    <row r="1956" spans="16:17" x14ac:dyDescent="0.25">
      <c r="P1956"/>
      <c r="Q1956"/>
    </row>
    <row r="1957" spans="16:17" x14ac:dyDescent="0.25">
      <c r="P1957"/>
      <c r="Q1957"/>
    </row>
    <row r="1958" spans="16:17" x14ac:dyDescent="0.25">
      <c r="P1958"/>
      <c r="Q1958"/>
    </row>
    <row r="1959" spans="16:17" x14ac:dyDescent="0.25">
      <c r="P1959"/>
      <c r="Q1959"/>
    </row>
    <row r="1960" spans="16:17" x14ac:dyDescent="0.25">
      <c r="P1960"/>
      <c r="Q1960"/>
    </row>
    <row r="1961" spans="16:17" x14ac:dyDescent="0.25">
      <c r="P1961"/>
      <c r="Q1961"/>
    </row>
    <row r="1962" spans="16:17" x14ac:dyDescent="0.25">
      <c r="P1962"/>
      <c r="Q1962"/>
    </row>
    <row r="1963" spans="16:17" x14ac:dyDescent="0.25">
      <c r="P1963"/>
      <c r="Q1963"/>
    </row>
    <row r="1964" spans="16:17" x14ac:dyDescent="0.25">
      <c r="P1964"/>
      <c r="Q1964"/>
    </row>
    <row r="1965" spans="16:17" x14ac:dyDescent="0.25">
      <c r="P1965"/>
      <c r="Q1965"/>
    </row>
    <row r="1966" spans="16:17" x14ac:dyDescent="0.25">
      <c r="P1966"/>
      <c r="Q1966"/>
    </row>
    <row r="1967" spans="16:17" x14ac:dyDescent="0.25">
      <c r="P1967"/>
      <c r="Q1967"/>
    </row>
    <row r="1968" spans="16:17" x14ac:dyDescent="0.25">
      <c r="P1968"/>
      <c r="Q1968"/>
    </row>
    <row r="1969" spans="16:17" x14ac:dyDescent="0.25">
      <c r="P1969"/>
      <c r="Q1969"/>
    </row>
    <row r="1970" spans="16:17" x14ac:dyDescent="0.25">
      <c r="P1970"/>
      <c r="Q1970"/>
    </row>
    <row r="1971" spans="16:17" x14ac:dyDescent="0.25">
      <c r="P1971"/>
      <c r="Q1971"/>
    </row>
    <row r="1972" spans="16:17" x14ac:dyDescent="0.25">
      <c r="P1972"/>
      <c r="Q1972"/>
    </row>
    <row r="1973" spans="16:17" x14ac:dyDescent="0.25">
      <c r="P1973"/>
      <c r="Q1973"/>
    </row>
    <row r="1974" spans="16:17" x14ac:dyDescent="0.25">
      <c r="P1974"/>
      <c r="Q1974"/>
    </row>
    <row r="1975" spans="16:17" x14ac:dyDescent="0.25">
      <c r="P1975"/>
      <c r="Q1975"/>
    </row>
    <row r="1976" spans="16:17" x14ac:dyDescent="0.25">
      <c r="P1976"/>
      <c r="Q1976"/>
    </row>
    <row r="1977" spans="16:17" x14ac:dyDescent="0.25">
      <c r="P1977"/>
      <c r="Q1977"/>
    </row>
    <row r="1978" spans="16:17" x14ac:dyDescent="0.25">
      <c r="P1978"/>
      <c r="Q1978"/>
    </row>
    <row r="1979" spans="16:17" x14ac:dyDescent="0.25">
      <c r="P1979"/>
      <c r="Q1979"/>
    </row>
    <row r="1980" spans="16:17" x14ac:dyDescent="0.25">
      <c r="P1980"/>
      <c r="Q1980"/>
    </row>
    <row r="1981" spans="16:17" x14ac:dyDescent="0.25">
      <c r="P1981"/>
      <c r="Q1981"/>
    </row>
    <row r="1982" spans="16:17" x14ac:dyDescent="0.25">
      <c r="P1982"/>
      <c r="Q1982"/>
    </row>
    <row r="1983" spans="16:17" x14ac:dyDescent="0.25">
      <c r="P1983"/>
      <c r="Q1983"/>
    </row>
    <row r="1984" spans="16:17" x14ac:dyDescent="0.25">
      <c r="P1984"/>
      <c r="Q1984"/>
    </row>
    <row r="1985" spans="16:17" x14ac:dyDescent="0.25">
      <c r="P1985"/>
      <c r="Q1985"/>
    </row>
    <row r="1986" spans="16:17" x14ac:dyDescent="0.25">
      <c r="P1986"/>
      <c r="Q1986"/>
    </row>
    <row r="1987" spans="16:17" x14ac:dyDescent="0.25">
      <c r="P1987"/>
      <c r="Q1987"/>
    </row>
    <row r="1988" spans="16:17" x14ac:dyDescent="0.25">
      <c r="P1988"/>
      <c r="Q1988"/>
    </row>
    <row r="1989" spans="16:17" x14ac:dyDescent="0.25">
      <c r="P1989"/>
      <c r="Q1989"/>
    </row>
    <row r="1990" spans="16:17" x14ac:dyDescent="0.25">
      <c r="P1990"/>
      <c r="Q1990"/>
    </row>
    <row r="1991" spans="16:17" x14ac:dyDescent="0.25">
      <c r="P1991"/>
      <c r="Q1991"/>
    </row>
    <row r="1992" spans="16:17" x14ac:dyDescent="0.25">
      <c r="P1992"/>
      <c r="Q1992"/>
    </row>
    <row r="1993" spans="16:17" x14ac:dyDescent="0.25">
      <c r="P1993"/>
      <c r="Q1993"/>
    </row>
    <row r="1994" spans="16:17" x14ac:dyDescent="0.25">
      <c r="P1994"/>
      <c r="Q1994"/>
    </row>
    <row r="1995" spans="16:17" x14ac:dyDescent="0.25">
      <c r="P1995"/>
      <c r="Q1995"/>
    </row>
    <row r="1996" spans="16:17" x14ac:dyDescent="0.25">
      <c r="P1996"/>
      <c r="Q1996"/>
    </row>
    <row r="1997" spans="16:17" x14ac:dyDescent="0.25">
      <c r="P1997"/>
      <c r="Q1997"/>
    </row>
    <row r="1998" spans="16:17" x14ac:dyDescent="0.25">
      <c r="P1998"/>
      <c r="Q1998"/>
    </row>
    <row r="1999" spans="16:17" x14ac:dyDescent="0.25">
      <c r="P1999"/>
      <c r="Q1999"/>
    </row>
    <row r="2000" spans="16:17" x14ac:dyDescent="0.25">
      <c r="P2000"/>
      <c r="Q2000"/>
    </row>
    <row r="2001" spans="16:17" x14ac:dyDescent="0.25">
      <c r="P2001"/>
      <c r="Q2001"/>
    </row>
    <row r="2002" spans="16:17" x14ac:dyDescent="0.25">
      <c r="P2002"/>
      <c r="Q2002"/>
    </row>
    <row r="2003" spans="16:17" x14ac:dyDescent="0.25">
      <c r="P2003"/>
      <c r="Q2003"/>
    </row>
    <row r="2004" spans="16:17" x14ac:dyDescent="0.25">
      <c r="P2004"/>
      <c r="Q2004"/>
    </row>
    <row r="2005" spans="16:17" x14ac:dyDescent="0.25">
      <c r="P2005"/>
      <c r="Q2005"/>
    </row>
    <row r="2006" spans="16:17" x14ac:dyDescent="0.25">
      <c r="P2006"/>
      <c r="Q2006"/>
    </row>
    <row r="2007" spans="16:17" x14ac:dyDescent="0.25">
      <c r="P2007"/>
      <c r="Q2007"/>
    </row>
    <row r="2008" spans="16:17" x14ac:dyDescent="0.25">
      <c r="P2008"/>
      <c r="Q2008"/>
    </row>
    <row r="2009" spans="16:17" x14ac:dyDescent="0.25">
      <c r="P2009"/>
      <c r="Q2009"/>
    </row>
    <row r="2010" spans="16:17" x14ac:dyDescent="0.25">
      <c r="P2010"/>
      <c r="Q2010"/>
    </row>
    <row r="2011" spans="16:17" x14ac:dyDescent="0.25">
      <c r="P2011"/>
      <c r="Q2011"/>
    </row>
    <row r="2012" spans="16:17" x14ac:dyDescent="0.25">
      <c r="P2012"/>
      <c r="Q2012"/>
    </row>
    <row r="2013" spans="16:17" x14ac:dyDescent="0.25">
      <c r="P2013"/>
      <c r="Q2013"/>
    </row>
    <row r="2014" spans="16:17" x14ac:dyDescent="0.25">
      <c r="P2014"/>
      <c r="Q2014"/>
    </row>
    <row r="2015" spans="16:17" x14ac:dyDescent="0.25">
      <c r="P2015"/>
      <c r="Q2015"/>
    </row>
    <row r="2016" spans="16:17" x14ac:dyDescent="0.25">
      <c r="P2016"/>
      <c r="Q2016"/>
    </row>
    <row r="2017" spans="16:17" x14ac:dyDescent="0.25">
      <c r="P2017"/>
      <c r="Q2017"/>
    </row>
    <row r="2018" spans="16:17" x14ac:dyDescent="0.25">
      <c r="P2018"/>
      <c r="Q2018"/>
    </row>
    <row r="2019" spans="16:17" x14ac:dyDescent="0.25">
      <c r="P2019"/>
      <c r="Q2019"/>
    </row>
    <row r="2020" spans="16:17" x14ac:dyDescent="0.25">
      <c r="P2020"/>
      <c r="Q2020"/>
    </row>
    <row r="2021" spans="16:17" x14ac:dyDescent="0.25">
      <c r="P2021"/>
      <c r="Q2021"/>
    </row>
    <row r="2022" spans="16:17" x14ac:dyDescent="0.25">
      <c r="P2022"/>
      <c r="Q2022"/>
    </row>
    <row r="2023" spans="16:17" x14ac:dyDescent="0.25">
      <c r="P2023"/>
      <c r="Q2023"/>
    </row>
    <row r="2024" spans="16:17" x14ac:dyDescent="0.25">
      <c r="P2024"/>
      <c r="Q2024"/>
    </row>
    <row r="2025" spans="16:17" x14ac:dyDescent="0.25">
      <c r="P2025"/>
      <c r="Q2025"/>
    </row>
    <row r="2026" spans="16:17" x14ac:dyDescent="0.25">
      <c r="P2026"/>
      <c r="Q2026"/>
    </row>
    <row r="2027" spans="16:17" x14ac:dyDescent="0.25">
      <c r="P2027"/>
      <c r="Q2027"/>
    </row>
    <row r="2028" spans="16:17" x14ac:dyDescent="0.25">
      <c r="P2028"/>
      <c r="Q2028"/>
    </row>
    <row r="2029" spans="16:17" x14ac:dyDescent="0.25">
      <c r="P2029"/>
      <c r="Q2029"/>
    </row>
    <row r="2030" spans="16:17" x14ac:dyDescent="0.25">
      <c r="P2030"/>
      <c r="Q2030"/>
    </row>
    <row r="2031" spans="16:17" x14ac:dyDescent="0.25">
      <c r="P2031"/>
      <c r="Q2031"/>
    </row>
    <row r="2032" spans="16:17" x14ac:dyDescent="0.25">
      <c r="P2032"/>
      <c r="Q2032"/>
    </row>
    <row r="2033" spans="16:17" x14ac:dyDescent="0.25">
      <c r="P2033"/>
      <c r="Q2033"/>
    </row>
    <row r="2034" spans="16:17" x14ac:dyDescent="0.25">
      <c r="P2034"/>
      <c r="Q2034"/>
    </row>
    <row r="2035" spans="16:17" x14ac:dyDescent="0.25">
      <c r="P2035"/>
      <c r="Q2035"/>
    </row>
    <row r="2036" spans="16:17" x14ac:dyDescent="0.25">
      <c r="P2036"/>
      <c r="Q2036"/>
    </row>
    <row r="2037" spans="16:17" x14ac:dyDescent="0.25">
      <c r="P2037"/>
      <c r="Q2037"/>
    </row>
    <row r="2038" spans="16:17" x14ac:dyDescent="0.25">
      <c r="P2038"/>
      <c r="Q2038"/>
    </row>
    <row r="2039" spans="16:17" x14ac:dyDescent="0.25">
      <c r="P2039"/>
      <c r="Q2039"/>
    </row>
    <row r="2040" spans="16:17" x14ac:dyDescent="0.25">
      <c r="P2040"/>
      <c r="Q2040"/>
    </row>
    <row r="2041" spans="16:17" x14ac:dyDescent="0.25">
      <c r="P2041"/>
      <c r="Q2041"/>
    </row>
    <row r="2042" spans="16:17" x14ac:dyDescent="0.25">
      <c r="P2042"/>
      <c r="Q2042"/>
    </row>
    <row r="2043" spans="16:17" x14ac:dyDescent="0.25">
      <c r="P2043"/>
      <c r="Q2043"/>
    </row>
    <row r="2044" spans="16:17" x14ac:dyDescent="0.25">
      <c r="P2044"/>
      <c r="Q2044"/>
    </row>
    <row r="2045" spans="16:17" x14ac:dyDescent="0.25">
      <c r="P2045"/>
      <c r="Q2045"/>
    </row>
    <row r="2046" spans="16:17" x14ac:dyDescent="0.25">
      <c r="P2046"/>
      <c r="Q2046"/>
    </row>
    <row r="2047" spans="16:17" x14ac:dyDescent="0.25">
      <c r="P2047"/>
      <c r="Q2047"/>
    </row>
    <row r="2048" spans="16:17" x14ac:dyDescent="0.25">
      <c r="P2048"/>
      <c r="Q2048"/>
    </row>
    <row r="2049" spans="16:17" x14ac:dyDescent="0.25">
      <c r="P2049"/>
      <c r="Q2049"/>
    </row>
    <row r="2050" spans="16:17" x14ac:dyDescent="0.25">
      <c r="P2050"/>
      <c r="Q2050"/>
    </row>
    <row r="2051" spans="16:17" x14ac:dyDescent="0.25">
      <c r="P2051"/>
      <c r="Q2051"/>
    </row>
    <row r="2052" spans="16:17" x14ac:dyDescent="0.25">
      <c r="P2052"/>
      <c r="Q2052"/>
    </row>
    <row r="2053" spans="16:17" x14ac:dyDescent="0.25">
      <c r="P2053"/>
      <c r="Q2053"/>
    </row>
    <row r="2054" spans="16:17" x14ac:dyDescent="0.25">
      <c r="P2054"/>
      <c r="Q2054"/>
    </row>
    <row r="2055" spans="16:17" x14ac:dyDescent="0.25">
      <c r="P2055"/>
      <c r="Q2055"/>
    </row>
    <row r="2056" spans="16:17" x14ac:dyDescent="0.25">
      <c r="P2056"/>
      <c r="Q2056"/>
    </row>
    <row r="2057" spans="16:17" x14ac:dyDescent="0.25">
      <c r="P2057"/>
      <c r="Q2057"/>
    </row>
    <row r="2058" spans="16:17" x14ac:dyDescent="0.25">
      <c r="P2058"/>
      <c r="Q2058"/>
    </row>
    <row r="2059" spans="16:17" x14ac:dyDescent="0.25">
      <c r="P2059"/>
      <c r="Q2059"/>
    </row>
    <row r="2060" spans="16:17" x14ac:dyDescent="0.25">
      <c r="P2060"/>
      <c r="Q2060"/>
    </row>
    <row r="2061" spans="16:17" x14ac:dyDescent="0.25">
      <c r="P2061"/>
      <c r="Q2061"/>
    </row>
    <row r="2062" spans="16:17" x14ac:dyDescent="0.25">
      <c r="P2062"/>
      <c r="Q2062"/>
    </row>
    <row r="2063" spans="16:17" x14ac:dyDescent="0.25">
      <c r="P2063"/>
      <c r="Q2063"/>
    </row>
    <row r="2064" spans="16:17" x14ac:dyDescent="0.25">
      <c r="P2064"/>
      <c r="Q2064"/>
    </row>
    <row r="2065" spans="16:17" x14ac:dyDescent="0.25">
      <c r="P2065"/>
      <c r="Q2065"/>
    </row>
    <row r="2066" spans="16:17" x14ac:dyDescent="0.25">
      <c r="P2066"/>
      <c r="Q2066"/>
    </row>
    <row r="2067" spans="16:17" x14ac:dyDescent="0.25">
      <c r="P2067"/>
      <c r="Q2067"/>
    </row>
    <row r="2068" spans="16:17" x14ac:dyDescent="0.25">
      <c r="P2068"/>
      <c r="Q2068"/>
    </row>
    <row r="2069" spans="16:17" x14ac:dyDescent="0.25">
      <c r="P2069"/>
      <c r="Q2069"/>
    </row>
    <row r="2070" spans="16:17" x14ac:dyDescent="0.25">
      <c r="P2070"/>
      <c r="Q2070"/>
    </row>
    <row r="2071" spans="16:17" x14ac:dyDescent="0.25">
      <c r="P2071"/>
      <c r="Q2071"/>
    </row>
    <row r="2072" spans="16:17" x14ac:dyDescent="0.25">
      <c r="P2072"/>
      <c r="Q2072"/>
    </row>
    <row r="2073" spans="16:17" x14ac:dyDescent="0.25">
      <c r="P2073"/>
      <c r="Q2073"/>
    </row>
    <row r="2074" spans="16:17" x14ac:dyDescent="0.25">
      <c r="P2074"/>
      <c r="Q2074"/>
    </row>
    <row r="2075" spans="16:17" x14ac:dyDescent="0.25">
      <c r="P2075"/>
      <c r="Q2075"/>
    </row>
    <row r="2076" spans="16:17" x14ac:dyDescent="0.25">
      <c r="P2076"/>
      <c r="Q2076"/>
    </row>
    <row r="2077" spans="16:17" x14ac:dyDescent="0.25">
      <c r="P2077"/>
      <c r="Q2077"/>
    </row>
    <row r="2078" spans="16:17" x14ac:dyDescent="0.25">
      <c r="P2078"/>
      <c r="Q2078"/>
    </row>
    <row r="2079" spans="16:17" x14ac:dyDescent="0.25">
      <c r="P2079"/>
      <c r="Q2079"/>
    </row>
    <row r="2080" spans="16:17" x14ac:dyDescent="0.25">
      <c r="P2080"/>
      <c r="Q2080"/>
    </row>
    <row r="2081" spans="16:17" x14ac:dyDescent="0.25">
      <c r="P2081"/>
      <c r="Q2081"/>
    </row>
    <row r="2082" spans="16:17" x14ac:dyDescent="0.25">
      <c r="P2082"/>
      <c r="Q2082"/>
    </row>
    <row r="2083" spans="16:17" x14ac:dyDescent="0.25">
      <c r="P2083"/>
      <c r="Q2083"/>
    </row>
    <row r="2084" spans="16:17" x14ac:dyDescent="0.25">
      <c r="P2084"/>
      <c r="Q2084"/>
    </row>
    <row r="2085" spans="16:17" x14ac:dyDescent="0.25">
      <c r="P2085"/>
      <c r="Q2085"/>
    </row>
    <row r="2086" spans="16:17" x14ac:dyDescent="0.25">
      <c r="P2086"/>
      <c r="Q2086"/>
    </row>
    <row r="2087" spans="16:17" x14ac:dyDescent="0.25">
      <c r="P2087"/>
      <c r="Q2087"/>
    </row>
    <row r="2088" spans="16:17" x14ac:dyDescent="0.25">
      <c r="P2088"/>
      <c r="Q2088"/>
    </row>
    <row r="2089" spans="16:17" x14ac:dyDescent="0.25">
      <c r="P2089"/>
      <c r="Q2089"/>
    </row>
    <row r="2090" spans="16:17" x14ac:dyDescent="0.25">
      <c r="P2090"/>
      <c r="Q2090"/>
    </row>
    <row r="2091" spans="16:17" x14ac:dyDescent="0.25">
      <c r="P2091"/>
      <c r="Q2091"/>
    </row>
    <row r="2092" spans="16:17" x14ac:dyDescent="0.25">
      <c r="P2092"/>
      <c r="Q2092"/>
    </row>
    <row r="2093" spans="16:17" x14ac:dyDescent="0.25">
      <c r="P2093"/>
      <c r="Q2093"/>
    </row>
    <row r="2094" spans="16:17" x14ac:dyDescent="0.25">
      <c r="P2094"/>
      <c r="Q2094"/>
    </row>
    <row r="2095" spans="16:17" x14ac:dyDescent="0.25">
      <c r="P2095"/>
      <c r="Q2095"/>
    </row>
    <row r="2096" spans="16:17" x14ac:dyDescent="0.25">
      <c r="P2096"/>
      <c r="Q2096"/>
    </row>
    <row r="2097" spans="16:17" x14ac:dyDescent="0.25">
      <c r="P2097"/>
      <c r="Q2097"/>
    </row>
    <row r="2098" spans="16:17" x14ac:dyDescent="0.25">
      <c r="P2098"/>
      <c r="Q2098"/>
    </row>
    <row r="2099" spans="16:17" x14ac:dyDescent="0.25">
      <c r="P2099"/>
      <c r="Q2099"/>
    </row>
    <row r="2100" spans="16:17" x14ac:dyDescent="0.25">
      <c r="P2100"/>
      <c r="Q2100"/>
    </row>
    <row r="2101" spans="16:17" x14ac:dyDescent="0.25">
      <c r="P2101"/>
      <c r="Q2101"/>
    </row>
    <row r="2102" spans="16:17" x14ac:dyDescent="0.25">
      <c r="P2102"/>
      <c r="Q2102"/>
    </row>
    <row r="2103" spans="16:17" x14ac:dyDescent="0.25">
      <c r="P2103"/>
      <c r="Q2103"/>
    </row>
    <row r="2104" spans="16:17" x14ac:dyDescent="0.25">
      <c r="P2104"/>
      <c r="Q2104"/>
    </row>
    <row r="2105" spans="16:17" x14ac:dyDescent="0.25">
      <c r="P2105"/>
      <c r="Q2105"/>
    </row>
    <row r="2106" spans="16:17" x14ac:dyDescent="0.25">
      <c r="P2106"/>
      <c r="Q2106"/>
    </row>
    <row r="2107" spans="16:17" x14ac:dyDescent="0.25">
      <c r="P2107"/>
      <c r="Q2107"/>
    </row>
    <row r="2108" spans="16:17" x14ac:dyDescent="0.25">
      <c r="P2108"/>
      <c r="Q2108"/>
    </row>
    <row r="2109" spans="16:17" x14ac:dyDescent="0.25">
      <c r="P2109"/>
      <c r="Q2109"/>
    </row>
    <row r="2110" spans="16:17" x14ac:dyDescent="0.25">
      <c r="P2110"/>
      <c r="Q2110"/>
    </row>
    <row r="2111" spans="16:17" x14ac:dyDescent="0.25">
      <c r="P2111"/>
      <c r="Q2111"/>
    </row>
    <row r="2112" spans="16:17" x14ac:dyDescent="0.25">
      <c r="P2112"/>
      <c r="Q2112"/>
    </row>
    <row r="2113" spans="16:17" x14ac:dyDescent="0.25">
      <c r="P2113"/>
      <c r="Q2113"/>
    </row>
    <row r="2114" spans="16:17" x14ac:dyDescent="0.25">
      <c r="P2114"/>
      <c r="Q2114"/>
    </row>
    <row r="2115" spans="16:17" x14ac:dyDescent="0.25">
      <c r="P2115"/>
      <c r="Q2115"/>
    </row>
    <row r="2116" spans="16:17" x14ac:dyDescent="0.25">
      <c r="P2116"/>
      <c r="Q2116"/>
    </row>
    <row r="2117" spans="16:17" x14ac:dyDescent="0.25">
      <c r="P2117"/>
      <c r="Q2117"/>
    </row>
    <row r="2118" spans="16:17" x14ac:dyDescent="0.25">
      <c r="P2118"/>
      <c r="Q2118"/>
    </row>
    <row r="2119" spans="16:17" x14ac:dyDescent="0.25">
      <c r="P2119"/>
      <c r="Q2119"/>
    </row>
    <row r="2120" spans="16:17" x14ac:dyDescent="0.25">
      <c r="P2120"/>
      <c r="Q2120"/>
    </row>
    <row r="2121" spans="16:17" x14ac:dyDescent="0.25">
      <c r="P2121"/>
      <c r="Q2121"/>
    </row>
    <row r="2122" spans="16:17" x14ac:dyDescent="0.25">
      <c r="P2122"/>
      <c r="Q2122"/>
    </row>
    <row r="2123" spans="16:17" x14ac:dyDescent="0.25">
      <c r="P2123"/>
      <c r="Q2123"/>
    </row>
    <row r="2124" spans="16:17" x14ac:dyDescent="0.25">
      <c r="P2124"/>
      <c r="Q2124"/>
    </row>
    <row r="2125" spans="16:17" x14ac:dyDescent="0.25">
      <c r="P2125"/>
      <c r="Q2125"/>
    </row>
    <row r="2126" spans="16:17" x14ac:dyDescent="0.25">
      <c r="P2126"/>
      <c r="Q2126"/>
    </row>
    <row r="2127" spans="16:17" x14ac:dyDescent="0.25">
      <c r="P2127"/>
      <c r="Q2127"/>
    </row>
    <row r="2128" spans="16:17" x14ac:dyDescent="0.25">
      <c r="P2128"/>
      <c r="Q2128"/>
    </row>
    <row r="2129" spans="16:17" x14ac:dyDescent="0.25">
      <c r="P2129"/>
      <c r="Q2129"/>
    </row>
    <row r="2130" spans="16:17" x14ac:dyDescent="0.25">
      <c r="P2130"/>
      <c r="Q2130"/>
    </row>
    <row r="2131" spans="16:17" x14ac:dyDescent="0.25">
      <c r="P2131"/>
      <c r="Q2131"/>
    </row>
    <row r="2132" spans="16:17" x14ac:dyDescent="0.25">
      <c r="P2132"/>
      <c r="Q2132"/>
    </row>
    <row r="2133" spans="16:17" x14ac:dyDescent="0.25">
      <c r="P2133"/>
      <c r="Q2133"/>
    </row>
    <row r="2134" spans="16:17" x14ac:dyDescent="0.25">
      <c r="P2134"/>
      <c r="Q2134"/>
    </row>
    <row r="2135" spans="16:17" x14ac:dyDescent="0.25">
      <c r="P2135"/>
      <c r="Q2135"/>
    </row>
    <row r="2136" spans="16:17" x14ac:dyDescent="0.25">
      <c r="P2136"/>
      <c r="Q2136"/>
    </row>
    <row r="2137" spans="16:17" x14ac:dyDescent="0.25">
      <c r="P2137"/>
      <c r="Q2137"/>
    </row>
    <row r="2138" spans="16:17" x14ac:dyDescent="0.25">
      <c r="P2138"/>
      <c r="Q2138"/>
    </row>
    <row r="2139" spans="16:17" x14ac:dyDescent="0.25">
      <c r="P2139"/>
      <c r="Q2139"/>
    </row>
    <row r="2140" spans="16:17" x14ac:dyDescent="0.25">
      <c r="P2140"/>
      <c r="Q2140"/>
    </row>
    <row r="2141" spans="16:17" x14ac:dyDescent="0.25">
      <c r="P2141"/>
      <c r="Q2141"/>
    </row>
    <row r="2142" spans="16:17" x14ac:dyDescent="0.25">
      <c r="P2142"/>
      <c r="Q2142"/>
    </row>
    <row r="2143" spans="16:17" x14ac:dyDescent="0.25">
      <c r="P2143"/>
      <c r="Q2143"/>
    </row>
    <row r="2144" spans="16:17" x14ac:dyDescent="0.25">
      <c r="P2144"/>
      <c r="Q2144"/>
    </row>
    <row r="2145" spans="16:17" x14ac:dyDescent="0.25">
      <c r="P2145"/>
      <c r="Q2145"/>
    </row>
    <row r="2146" spans="16:17" x14ac:dyDescent="0.25">
      <c r="P2146"/>
      <c r="Q2146"/>
    </row>
    <row r="2147" spans="16:17" x14ac:dyDescent="0.25">
      <c r="P2147"/>
      <c r="Q2147"/>
    </row>
    <row r="2148" spans="16:17" x14ac:dyDescent="0.25">
      <c r="P2148"/>
      <c r="Q2148"/>
    </row>
    <row r="2149" spans="16:17" x14ac:dyDescent="0.25">
      <c r="P2149"/>
      <c r="Q2149"/>
    </row>
    <row r="2150" spans="16:17" x14ac:dyDescent="0.25">
      <c r="P2150"/>
      <c r="Q2150"/>
    </row>
    <row r="2151" spans="16:17" x14ac:dyDescent="0.25">
      <c r="P2151"/>
      <c r="Q2151"/>
    </row>
    <row r="2152" spans="16:17" x14ac:dyDescent="0.25">
      <c r="P2152"/>
      <c r="Q2152"/>
    </row>
    <row r="2153" spans="16:17" x14ac:dyDescent="0.25">
      <c r="P2153"/>
      <c r="Q2153"/>
    </row>
    <row r="2154" spans="16:17" x14ac:dyDescent="0.25">
      <c r="P2154"/>
      <c r="Q2154"/>
    </row>
    <row r="2155" spans="16:17" x14ac:dyDescent="0.25">
      <c r="P2155"/>
      <c r="Q2155"/>
    </row>
    <row r="2156" spans="16:17" x14ac:dyDescent="0.25">
      <c r="P2156"/>
      <c r="Q2156"/>
    </row>
    <row r="2157" spans="16:17" x14ac:dyDescent="0.25">
      <c r="P2157"/>
      <c r="Q2157"/>
    </row>
    <row r="2158" spans="16:17" x14ac:dyDescent="0.25">
      <c r="P2158"/>
      <c r="Q2158"/>
    </row>
    <row r="2159" spans="16:17" x14ac:dyDescent="0.25">
      <c r="P2159"/>
      <c r="Q2159"/>
    </row>
    <row r="2160" spans="16:17" x14ac:dyDescent="0.25">
      <c r="P2160"/>
      <c r="Q2160"/>
    </row>
    <row r="2161" spans="16:17" x14ac:dyDescent="0.25">
      <c r="P2161"/>
      <c r="Q2161"/>
    </row>
    <row r="2162" spans="16:17" x14ac:dyDescent="0.25">
      <c r="P2162"/>
      <c r="Q2162"/>
    </row>
    <row r="2163" spans="16:17" x14ac:dyDescent="0.25">
      <c r="P2163"/>
      <c r="Q2163"/>
    </row>
    <row r="2164" spans="16:17" x14ac:dyDescent="0.25">
      <c r="P2164"/>
      <c r="Q2164"/>
    </row>
    <row r="2165" spans="16:17" x14ac:dyDescent="0.25">
      <c r="P2165"/>
      <c r="Q2165"/>
    </row>
    <row r="2166" spans="16:17" x14ac:dyDescent="0.25">
      <c r="P2166"/>
      <c r="Q2166"/>
    </row>
    <row r="2167" spans="16:17" x14ac:dyDescent="0.25">
      <c r="P2167"/>
      <c r="Q2167"/>
    </row>
    <row r="2168" spans="16:17" x14ac:dyDescent="0.25">
      <c r="P2168"/>
      <c r="Q2168"/>
    </row>
    <row r="2169" spans="16:17" x14ac:dyDescent="0.25">
      <c r="P2169"/>
      <c r="Q2169"/>
    </row>
    <row r="2170" spans="16:17" x14ac:dyDescent="0.25">
      <c r="P2170"/>
      <c r="Q2170"/>
    </row>
    <row r="2171" spans="16:17" x14ac:dyDescent="0.25">
      <c r="P2171"/>
      <c r="Q2171"/>
    </row>
    <row r="2172" spans="16:17" x14ac:dyDescent="0.25">
      <c r="P2172"/>
      <c r="Q2172"/>
    </row>
    <row r="2173" spans="16:17" x14ac:dyDescent="0.25">
      <c r="P2173"/>
      <c r="Q2173"/>
    </row>
    <row r="2174" spans="16:17" x14ac:dyDescent="0.25">
      <c r="P2174"/>
      <c r="Q2174"/>
    </row>
    <row r="2175" spans="16:17" x14ac:dyDescent="0.25">
      <c r="P2175"/>
      <c r="Q2175"/>
    </row>
    <row r="2176" spans="16:17" x14ac:dyDescent="0.25">
      <c r="P2176"/>
      <c r="Q2176"/>
    </row>
    <row r="2177" spans="16:17" x14ac:dyDescent="0.25">
      <c r="P2177"/>
      <c r="Q2177"/>
    </row>
    <row r="2178" spans="16:17" x14ac:dyDescent="0.25">
      <c r="P2178"/>
      <c r="Q2178"/>
    </row>
    <row r="2179" spans="16:17" x14ac:dyDescent="0.25">
      <c r="P2179"/>
      <c r="Q2179"/>
    </row>
    <row r="2180" spans="16:17" x14ac:dyDescent="0.25">
      <c r="P2180"/>
      <c r="Q2180"/>
    </row>
    <row r="2181" spans="16:17" x14ac:dyDescent="0.25">
      <c r="P2181"/>
      <c r="Q2181"/>
    </row>
    <row r="2182" spans="16:17" x14ac:dyDescent="0.25">
      <c r="P2182"/>
      <c r="Q2182"/>
    </row>
    <row r="2183" spans="16:17" x14ac:dyDescent="0.25">
      <c r="P2183"/>
      <c r="Q2183"/>
    </row>
    <row r="2184" spans="16:17" x14ac:dyDescent="0.25">
      <c r="P2184"/>
      <c r="Q2184"/>
    </row>
    <row r="2185" spans="16:17" x14ac:dyDescent="0.25">
      <c r="P2185"/>
      <c r="Q2185"/>
    </row>
    <row r="2186" spans="16:17" x14ac:dyDescent="0.25">
      <c r="P2186"/>
      <c r="Q2186"/>
    </row>
    <row r="2187" spans="16:17" x14ac:dyDescent="0.25">
      <c r="P2187"/>
      <c r="Q2187"/>
    </row>
    <row r="2188" spans="16:17" x14ac:dyDescent="0.25">
      <c r="P2188"/>
      <c r="Q2188"/>
    </row>
    <row r="2189" spans="16:17" x14ac:dyDescent="0.25">
      <c r="P2189"/>
      <c r="Q2189"/>
    </row>
    <row r="2190" spans="16:17" x14ac:dyDescent="0.25">
      <c r="P2190"/>
      <c r="Q2190"/>
    </row>
    <row r="2191" spans="16:17" x14ac:dyDescent="0.25">
      <c r="P2191"/>
      <c r="Q2191"/>
    </row>
    <row r="2192" spans="16:17" x14ac:dyDescent="0.25">
      <c r="P2192"/>
      <c r="Q2192"/>
    </row>
    <row r="2193" spans="16:17" x14ac:dyDescent="0.25">
      <c r="P2193"/>
      <c r="Q2193"/>
    </row>
    <row r="2194" spans="16:17" x14ac:dyDescent="0.25">
      <c r="P2194"/>
      <c r="Q2194"/>
    </row>
    <row r="2195" spans="16:17" x14ac:dyDescent="0.25">
      <c r="P2195"/>
      <c r="Q2195"/>
    </row>
    <row r="2196" spans="16:17" x14ac:dyDescent="0.25">
      <c r="P2196"/>
      <c r="Q2196"/>
    </row>
    <row r="2197" spans="16:17" x14ac:dyDescent="0.25">
      <c r="P2197"/>
      <c r="Q2197"/>
    </row>
    <row r="2198" spans="16:17" x14ac:dyDescent="0.25">
      <c r="P2198"/>
      <c r="Q2198"/>
    </row>
    <row r="2199" spans="16:17" x14ac:dyDescent="0.25">
      <c r="P2199"/>
      <c r="Q2199"/>
    </row>
    <row r="2200" spans="16:17" x14ac:dyDescent="0.25">
      <c r="P2200"/>
      <c r="Q2200"/>
    </row>
    <row r="2201" spans="16:17" x14ac:dyDescent="0.25">
      <c r="P2201"/>
      <c r="Q2201"/>
    </row>
    <row r="2202" spans="16:17" x14ac:dyDescent="0.25">
      <c r="P2202"/>
      <c r="Q2202"/>
    </row>
    <row r="2203" spans="16:17" x14ac:dyDescent="0.25">
      <c r="P2203"/>
      <c r="Q2203"/>
    </row>
    <row r="2204" spans="16:17" x14ac:dyDescent="0.25">
      <c r="P2204"/>
      <c r="Q2204"/>
    </row>
    <row r="2205" spans="16:17" x14ac:dyDescent="0.25">
      <c r="P2205"/>
      <c r="Q2205"/>
    </row>
    <row r="2206" spans="16:17" x14ac:dyDescent="0.25">
      <c r="P2206"/>
      <c r="Q2206"/>
    </row>
    <row r="2207" spans="16:17" x14ac:dyDescent="0.25">
      <c r="P2207"/>
      <c r="Q2207"/>
    </row>
    <row r="2208" spans="16:17" x14ac:dyDescent="0.25">
      <c r="P2208"/>
      <c r="Q2208"/>
    </row>
    <row r="2209" spans="16:17" x14ac:dyDescent="0.25">
      <c r="P2209"/>
      <c r="Q2209"/>
    </row>
    <row r="2210" spans="16:17" x14ac:dyDescent="0.25">
      <c r="P2210"/>
      <c r="Q2210"/>
    </row>
    <row r="2211" spans="16:17" x14ac:dyDescent="0.25">
      <c r="P2211"/>
      <c r="Q2211"/>
    </row>
    <row r="2212" spans="16:17" x14ac:dyDescent="0.25">
      <c r="P2212"/>
      <c r="Q2212"/>
    </row>
    <row r="2213" spans="16:17" x14ac:dyDescent="0.25">
      <c r="P2213"/>
      <c r="Q2213"/>
    </row>
    <row r="2214" spans="16:17" x14ac:dyDescent="0.25">
      <c r="P2214"/>
      <c r="Q2214"/>
    </row>
    <row r="2215" spans="16:17" x14ac:dyDescent="0.25">
      <c r="P2215"/>
      <c r="Q2215"/>
    </row>
    <row r="2216" spans="16:17" x14ac:dyDescent="0.25">
      <c r="P2216"/>
      <c r="Q2216"/>
    </row>
    <row r="2217" spans="16:17" x14ac:dyDescent="0.25">
      <c r="P2217"/>
      <c r="Q2217"/>
    </row>
    <row r="2218" spans="16:17" x14ac:dyDescent="0.25">
      <c r="P2218"/>
      <c r="Q2218"/>
    </row>
    <row r="2219" spans="16:17" x14ac:dyDescent="0.25">
      <c r="P2219"/>
      <c r="Q2219"/>
    </row>
    <row r="2220" spans="16:17" x14ac:dyDescent="0.25">
      <c r="P2220"/>
      <c r="Q2220"/>
    </row>
    <row r="2221" spans="16:17" x14ac:dyDescent="0.25">
      <c r="P2221"/>
      <c r="Q2221"/>
    </row>
    <row r="2222" spans="16:17" x14ac:dyDescent="0.25">
      <c r="P2222"/>
      <c r="Q2222"/>
    </row>
    <row r="2223" spans="16:17" x14ac:dyDescent="0.25">
      <c r="P2223"/>
      <c r="Q2223"/>
    </row>
    <row r="2224" spans="16:17" x14ac:dyDescent="0.25">
      <c r="P2224"/>
      <c r="Q2224"/>
    </row>
    <row r="2225" spans="16:17" x14ac:dyDescent="0.25">
      <c r="P2225"/>
      <c r="Q2225"/>
    </row>
    <row r="2226" spans="16:17" x14ac:dyDescent="0.25">
      <c r="P2226"/>
      <c r="Q2226"/>
    </row>
    <row r="2227" spans="16:17" x14ac:dyDescent="0.25">
      <c r="P2227"/>
      <c r="Q2227"/>
    </row>
    <row r="2228" spans="16:17" x14ac:dyDescent="0.25">
      <c r="P2228"/>
      <c r="Q2228"/>
    </row>
    <row r="2229" spans="16:17" x14ac:dyDescent="0.25">
      <c r="P2229"/>
      <c r="Q2229"/>
    </row>
    <row r="2230" spans="16:17" x14ac:dyDescent="0.25">
      <c r="P2230"/>
      <c r="Q2230"/>
    </row>
    <row r="2231" spans="16:17" x14ac:dyDescent="0.25">
      <c r="P2231"/>
      <c r="Q2231"/>
    </row>
    <row r="2232" spans="16:17" x14ac:dyDescent="0.25">
      <c r="P2232"/>
      <c r="Q2232"/>
    </row>
    <row r="2233" spans="16:17" x14ac:dyDescent="0.25">
      <c r="P2233"/>
      <c r="Q2233"/>
    </row>
    <row r="2234" spans="16:17" x14ac:dyDescent="0.25">
      <c r="P2234"/>
      <c r="Q2234"/>
    </row>
    <row r="2235" spans="16:17" x14ac:dyDescent="0.25">
      <c r="P2235"/>
      <c r="Q2235"/>
    </row>
    <row r="2236" spans="16:17" x14ac:dyDescent="0.25">
      <c r="P2236"/>
      <c r="Q2236"/>
    </row>
    <row r="2237" spans="16:17" x14ac:dyDescent="0.25">
      <c r="P2237"/>
      <c r="Q2237"/>
    </row>
    <row r="2238" spans="16:17" x14ac:dyDescent="0.25">
      <c r="P2238"/>
      <c r="Q2238"/>
    </row>
    <row r="2239" spans="16:17" x14ac:dyDescent="0.25">
      <c r="P2239"/>
      <c r="Q2239"/>
    </row>
    <row r="2240" spans="16:17" x14ac:dyDescent="0.25">
      <c r="P2240"/>
      <c r="Q2240"/>
    </row>
    <row r="2241" spans="16:17" x14ac:dyDescent="0.25">
      <c r="P2241"/>
      <c r="Q2241"/>
    </row>
    <row r="2242" spans="16:17" x14ac:dyDescent="0.25">
      <c r="P2242"/>
      <c r="Q2242"/>
    </row>
    <row r="2243" spans="16:17" x14ac:dyDescent="0.25">
      <c r="P2243"/>
      <c r="Q2243"/>
    </row>
    <row r="2244" spans="16:17" x14ac:dyDescent="0.25">
      <c r="P2244"/>
      <c r="Q2244"/>
    </row>
    <row r="2245" spans="16:17" x14ac:dyDescent="0.25">
      <c r="P2245"/>
      <c r="Q2245"/>
    </row>
    <row r="2246" spans="16:17" x14ac:dyDescent="0.25">
      <c r="P2246"/>
      <c r="Q2246"/>
    </row>
    <row r="2247" spans="16:17" x14ac:dyDescent="0.25">
      <c r="P2247"/>
      <c r="Q2247"/>
    </row>
    <row r="2248" spans="16:17" x14ac:dyDescent="0.25">
      <c r="P2248"/>
      <c r="Q2248"/>
    </row>
    <row r="2249" spans="16:17" x14ac:dyDescent="0.25">
      <c r="P2249"/>
      <c r="Q2249"/>
    </row>
    <row r="2250" spans="16:17" x14ac:dyDescent="0.25">
      <c r="P2250"/>
      <c r="Q2250"/>
    </row>
    <row r="2251" spans="16:17" x14ac:dyDescent="0.25">
      <c r="P2251"/>
      <c r="Q2251"/>
    </row>
    <row r="2252" spans="16:17" x14ac:dyDescent="0.25">
      <c r="P2252"/>
      <c r="Q2252"/>
    </row>
    <row r="2253" spans="16:17" x14ac:dyDescent="0.25">
      <c r="P2253"/>
      <c r="Q2253"/>
    </row>
    <row r="2254" spans="16:17" x14ac:dyDescent="0.25">
      <c r="P2254"/>
      <c r="Q2254"/>
    </row>
    <row r="2255" spans="16:17" x14ac:dyDescent="0.25">
      <c r="P2255"/>
      <c r="Q2255"/>
    </row>
    <row r="2256" spans="16:17" x14ac:dyDescent="0.25">
      <c r="P2256"/>
      <c r="Q2256"/>
    </row>
    <row r="2257" spans="16:17" x14ac:dyDescent="0.25">
      <c r="P2257"/>
      <c r="Q2257"/>
    </row>
    <row r="2258" spans="16:17" x14ac:dyDescent="0.25">
      <c r="P2258"/>
      <c r="Q2258"/>
    </row>
    <row r="2259" spans="16:17" x14ac:dyDescent="0.25">
      <c r="P2259"/>
      <c r="Q2259"/>
    </row>
    <row r="2260" spans="16:17" x14ac:dyDescent="0.25">
      <c r="P2260"/>
      <c r="Q2260"/>
    </row>
    <row r="2261" spans="16:17" x14ac:dyDescent="0.25">
      <c r="P2261"/>
      <c r="Q2261"/>
    </row>
    <row r="2262" spans="16:17" x14ac:dyDescent="0.25">
      <c r="P2262"/>
      <c r="Q2262"/>
    </row>
    <row r="2263" spans="16:17" x14ac:dyDescent="0.25">
      <c r="P2263"/>
      <c r="Q2263"/>
    </row>
    <row r="2264" spans="16:17" x14ac:dyDescent="0.25">
      <c r="P2264"/>
      <c r="Q2264"/>
    </row>
    <row r="2265" spans="16:17" x14ac:dyDescent="0.25">
      <c r="P2265"/>
      <c r="Q2265"/>
    </row>
    <row r="2266" spans="16:17" x14ac:dyDescent="0.25">
      <c r="P2266"/>
      <c r="Q2266"/>
    </row>
    <row r="2267" spans="16:17" x14ac:dyDescent="0.25">
      <c r="P2267"/>
      <c r="Q2267"/>
    </row>
    <row r="2268" spans="16:17" x14ac:dyDescent="0.25">
      <c r="P2268"/>
      <c r="Q2268"/>
    </row>
    <row r="2269" spans="16:17" x14ac:dyDescent="0.25">
      <c r="P2269"/>
      <c r="Q2269"/>
    </row>
    <row r="2270" spans="16:17" x14ac:dyDescent="0.25">
      <c r="P2270"/>
      <c r="Q2270"/>
    </row>
    <row r="2271" spans="16:17" x14ac:dyDescent="0.25">
      <c r="P2271"/>
      <c r="Q2271"/>
    </row>
    <row r="2272" spans="16:17" x14ac:dyDescent="0.25">
      <c r="P2272"/>
      <c r="Q2272"/>
    </row>
    <row r="2273" spans="16:17" x14ac:dyDescent="0.25">
      <c r="P2273"/>
      <c r="Q2273"/>
    </row>
    <row r="2274" spans="16:17" x14ac:dyDescent="0.25">
      <c r="P2274"/>
      <c r="Q2274"/>
    </row>
    <row r="2275" spans="16:17" x14ac:dyDescent="0.25">
      <c r="P2275"/>
      <c r="Q2275"/>
    </row>
    <row r="2276" spans="16:17" x14ac:dyDescent="0.25">
      <c r="P2276"/>
      <c r="Q2276"/>
    </row>
    <row r="2277" spans="16:17" x14ac:dyDescent="0.25">
      <c r="P2277"/>
      <c r="Q2277"/>
    </row>
    <row r="2278" spans="16:17" x14ac:dyDescent="0.25">
      <c r="P2278"/>
      <c r="Q2278"/>
    </row>
    <row r="2279" spans="16:17" x14ac:dyDescent="0.25">
      <c r="P2279"/>
      <c r="Q2279"/>
    </row>
    <row r="2280" spans="16:17" x14ac:dyDescent="0.25">
      <c r="P2280"/>
      <c r="Q2280"/>
    </row>
    <row r="2281" spans="16:17" x14ac:dyDescent="0.25">
      <c r="P2281"/>
      <c r="Q2281"/>
    </row>
    <row r="2282" spans="16:17" x14ac:dyDescent="0.25">
      <c r="P2282"/>
      <c r="Q2282"/>
    </row>
    <row r="2283" spans="16:17" x14ac:dyDescent="0.25">
      <c r="P2283"/>
      <c r="Q2283"/>
    </row>
    <row r="2284" spans="16:17" x14ac:dyDescent="0.25">
      <c r="P2284"/>
      <c r="Q2284"/>
    </row>
    <row r="2285" spans="16:17" x14ac:dyDescent="0.25">
      <c r="P2285"/>
      <c r="Q2285"/>
    </row>
    <row r="2286" spans="16:17" x14ac:dyDescent="0.25">
      <c r="P2286"/>
      <c r="Q2286"/>
    </row>
    <row r="2287" spans="16:17" x14ac:dyDescent="0.25">
      <c r="P2287"/>
      <c r="Q2287"/>
    </row>
    <row r="2288" spans="16:17" x14ac:dyDescent="0.25">
      <c r="P2288"/>
      <c r="Q2288"/>
    </row>
    <row r="2289" spans="16:17" x14ac:dyDescent="0.25">
      <c r="P2289"/>
      <c r="Q2289"/>
    </row>
    <row r="2290" spans="16:17" x14ac:dyDescent="0.25">
      <c r="P2290"/>
      <c r="Q2290"/>
    </row>
    <row r="2291" spans="16:17" x14ac:dyDescent="0.25">
      <c r="P2291"/>
      <c r="Q2291"/>
    </row>
    <row r="2292" spans="16:17" x14ac:dyDescent="0.25">
      <c r="P2292"/>
      <c r="Q2292"/>
    </row>
    <row r="2293" spans="16:17" x14ac:dyDescent="0.25">
      <c r="P2293"/>
      <c r="Q2293"/>
    </row>
    <row r="2294" spans="16:17" x14ac:dyDescent="0.25">
      <c r="P2294"/>
      <c r="Q2294"/>
    </row>
    <row r="2295" spans="16:17" x14ac:dyDescent="0.25">
      <c r="P2295"/>
      <c r="Q2295"/>
    </row>
    <row r="2296" spans="16:17" x14ac:dyDescent="0.25">
      <c r="P2296"/>
      <c r="Q2296"/>
    </row>
    <row r="2297" spans="16:17" x14ac:dyDescent="0.25">
      <c r="P2297"/>
      <c r="Q2297"/>
    </row>
    <row r="2298" spans="16:17" x14ac:dyDescent="0.25">
      <c r="P2298"/>
      <c r="Q2298"/>
    </row>
    <row r="2299" spans="16:17" x14ac:dyDescent="0.25">
      <c r="P2299"/>
      <c r="Q2299"/>
    </row>
    <row r="2300" spans="16:17" x14ac:dyDescent="0.25">
      <c r="P2300"/>
      <c r="Q2300"/>
    </row>
    <row r="2301" spans="16:17" x14ac:dyDescent="0.25">
      <c r="P2301"/>
      <c r="Q2301"/>
    </row>
    <row r="2302" spans="16:17" x14ac:dyDescent="0.25">
      <c r="P2302"/>
      <c r="Q2302"/>
    </row>
    <row r="2303" spans="16:17" x14ac:dyDescent="0.25">
      <c r="P2303"/>
      <c r="Q2303"/>
    </row>
    <row r="2304" spans="16:17" x14ac:dyDescent="0.25">
      <c r="P2304"/>
      <c r="Q2304"/>
    </row>
    <row r="2305" spans="16:17" x14ac:dyDescent="0.25">
      <c r="P2305"/>
      <c r="Q2305"/>
    </row>
    <row r="2306" spans="16:17" x14ac:dyDescent="0.25">
      <c r="P2306"/>
      <c r="Q2306"/>
    </row>
    <row r="2307" spans="16:17" x14ac:dyDescent="0.25">
      <c r="P2307"/>
      <c r="Q2307"/>
    </row>
    <row r="2308" spans="16:17" x14ac:dyDescent="0.25">
      <c r="P2308"/>
      <c r="Q2308"/>
    </row>
    <row r="2309" spans="16:17" x14ac:dyDescent="0.25">
      <c r="P2309"/>
      <c r="Q2309"/>
    </row>
    <row r="2310" spans="16:17" x14ac:dyDescent="0.25">
      <c r="P2310"/>
      <c r="Q2310"/>
    </row>
    <row r="2311" spans="16:17" x14ac:dyDescent="0.25">
      <c r="P2311"/>
      <c r="Q2311"/>
    </row>
    <row r="2312" spans="16:17" x14ac:dyDescent="0.25">
      <c r="P2312"/>
      <c r="Q2312"/>
    </row>
    <row r="2313" spans="16:17" x14ac:dyDescent="0.25">
      <c r="P2313"/>
      <c r="Q2313"/>
    </row>
    <row r="2314" spans="16:17" x14ac:dyDescent="0.25">
      <c r="P2314"/>
      <c r="Q2314"/>
    </row>
    <row r="2315" spans="16:17" x14ac:dyDescent="0.25">
      <c r="P2315"/>
      <c r="Q2315"/>
    </row>
    <row r="2316" spans="16:17" x14ac:dyDescent="0.25">
      <c r="P2316"/>
      <c r="Q2316"/>
    </row>
    <row r="2317" spans="16:17" x14ac:dyDescent="0.25">
      <c r="P2317"/>
      <c r="Q2317"/>
    </row>
    <row r="2318" spans="16:17" x14ac:dyDescent="0.25">
      <c r="P2318"/>
      <c r="Q2318"/>
    </row>
    <row r="2319" spans="16:17" x14ac:dyDescent="0.25">
      <c r="P2319"/>
      <c r="Q2319"/>
    </row>
    <row r="2320" spans="16:17" x14ac:dyDescent="0.25">
      <c r="P2320"/>
      <c r="Q2320"/>
    </row>
    <row r="2321" spans="16:17" x14ac:dyDescent="0.25">
      <c r="P2321"/>
      <c r="Q2321"/>
    </row>
    <row r="2322" spans="16:17" x14ac:dyDescent="0.25">
      <c r="P2322"/>
      <c r="Q2322"/>
    </row>
    <row r="2323" spans="16:17" x14ac:dyDescent="0.25">
      <c r="P2323"/>
      <c r="Q2323"/>
    </row>
    <row r="2324" spans="16:17" x14ac:dyDescent="0.25">
      <c r="P2324"/>
      <c r="Q2324"/>
    </row>
    <row r="2325" spans="16:17" x14ac:dyDescent="0.25">
      <c r="P2325"/>
      <c r="Q2325"/>
    </row>
    <row r="2326" spans="16:17" x14ac:dyDescent="0.25">
      <c r="P2326"/>
      <c r="Q2326"/>
    </row>
    <row r="2327" spans="16:17" x14ac:dyDescent="0.25">
      <c r="P2327"/>
      <c r="Q2327"/>
    </row>
    <row r="2328" spans="16:17" x14ac:dyDescent="0.25">
      <c r="P2328"/>
      <c r="Q2328"/>
    </row>
    <row r="2329" spans="16:17" x14ac:dyDescent="0.25">
      <c r="P2329"/>
      <c r="Q2329"/>
    </row>
    <row r="2330" spans="16:17" x14ac:dyDescent="0.25">
      <c r="P2330"/>
      <c r="Q2330"/>
    </row>
    <row r="2331" spans="16:17" x14ac:dyDescent="0.25">
      <c r="P2331"/>
      <c r="Q2331"/>
    </row>
    <row r="2332" spans="16:17" x14ac:dyDescent="0.25">
      <c r="P2332"/>
      <c r="Q2332"/>
    </row>
    <row r="2333" spans="16:17" x14ac:dyDescent="0.25">
      <c r="P2333"/>
      <c r="Q2333"/>
    </row>
    <row r="2334" spans="16:17" x14ac:dyDescent="0.25">
      <c r="P2334"/>
      <c r="Q2334"/>
    </row>
    <row r="2335" spans="16:17" x14ac:dyDescent="0.25">
      <c r="P2335"/>
      <c r="Q2335"/>
    </row>
    <row r="2336" spans="16:17" x14ac:dyDescent="0.25">
      <c r="P2336"/>
      <c r="Q2336"/>
    </row>
    <row r="2337" spans="16:17" x14ac:dyDescent="0.25">
      <c r="P2337"/>
      <c r="Q2337"/>
    </row>
    <row r="2338" spans="16:17" x14ac:dyDescent="0.25">
      <c r="P2338"/>
      <c r="Q2338"/>
    </row>
    <row r="2339" spans="16:17" x14ac:dyDescent="0.25">
      <c r="P2339"/>
      <c r="Q2339"/>
    </row>
    <row r="2340" spans="16:17" x14ac:dyDescent="0.25">
      <c r="P2340"/>
      <c r="Q2340"/>
    </row>
    <row r="2341" spans="16:17" x14ac:dyDescent="0.25">
      <c r="P2341"/>
      <c r="Q2341"/>
    </row>
    <row r="2342" spans="16:17" x14ac:dyDescent="0.25">
      <c r="P2342"/>
      <c r="Q2342"/>
    </row>
    <row r="2343" spans="16:17" x14ac:dyDescent="0.25">
      <c r="P2343"/>
      <c r="Q2343"/>
    </row>
    <row r="2344" spans="16:17" x14ac:dyDescent="0.25">
      <c r="P2344"/>
      <c r="Q2344"/>
    </row>
    <row r="2345" spans="16:17" x14ac:dyDescent="0.25">
      <c r="P2345"/>
      <c r="Q2345"/>
    </row>
    <row r="2346" spans="16:17" x14ac:dyDescent="0.25">
      <c r="P2346"/>
      <c r="Q2346"/>
    </row>
    <row r="2347" spans="16:17" x14ac:dyDescent="0.25">
      <c r="P2347"/>
      <c r="Q2347"/>
    </row>
    <row r="2348" spans="16:17" x14ac:dyDescent="0.25">
      <c r="P2348"/>
      <c r="Q2348"/>
    </row>
    <row r="2349" spans="16:17" x14ac:dyDescent="0.25">
      <c r="P2349"/>
      <c r="Q2349"/>
    </row>
    <row r="2350" spans="16:17" x14ac:dyDescent="0.25">
      <c r="P2350"/>
      <c r="Q2350"/>
    </row>
    <row r="2351" spans="16:17" x14ac:dyDescent="0.25">
      <c r="P2351"/>
      <c r="Q2351"/>
    </row>
    <row r="2352" spans="16:17" x14ac:dyDescent="0.25">
      <c r="P2352"/>
      <c r="Q2352"/>
    </row>
    <row r="2353" spans="16:17" x14ac:dyDescent="0.25">
      <c r="P2353"/>
      <c r="Q2353"/>
    </row>
    <row r="2354" spans="16:17" x14ac:dyDescent="0.25">
      <c r="P2354"/>
      <c r="Q2354"/>
    </row>
    <row r="2355" spans="16:17" x14ac:dyDescent="0.25">
      <c r="P2355"/>
      <c r="Q2355"/>
    </row>
    <row r="2356" spans="16:17" x14ac:dyDescent="0.25">
      <c r="P2356"/>
      <c r="Q2356"/>
    </row>
    <row r="2357" spans="16:17" x14ac:dyDescent="0.25">
      <c r="P2357"/>
      <c r="Q2357"/>
    </row>
    <row r="2358" spans="16:17" x14ac:dyDescent="0.25">
      <c r="P2358"/>
      <c r="Q2358"/>
    </row>
    <row r="2359" spans="16:17" x14ac:dyDescent="0.25">
      <c r="P2359"/>
      <c r="Q2359"/>
    </row>
    <row r="2360" spans="16:17" x14ac:dyDescent="0.25">
      <c r="P2360"/>
      <c r="Q2360"/>
    </row>
    <row r="2361" spans="16:17" x14ac:dyDescent="0.25">
      <c r="P2361"/>
      <c r="Q2361"/>
    </row>
    <row r="2362" spans="16:17" x14ac:dyDescent="0.25">
      <c r="P2362"/>
      <c r="Q2362"/>
    </row>
    <row r="2363" spans="16:17" x14ac:dyDescent="0.25">
      <c r="P2363"/>
      <c r="Q2363"/>
    </row>
    <row r="2364" spans="16:17" x14ac:dyDescent="0.25">
      <c r="P2364"/>
      <c r="Q2364"/>
    </row>
    <row r="2365" spans="16:17" x14ac:dyDescent="0.25">
      <c r="P2365"/>
      <c r="Q2365"/>
    </row>
    <row r="2366" spans="16:17" x14ac:dyDescent="0.25">
      <c r="P2366"/>
      <c r="Q2366"/>
    </row>
    <row r="2367" spans="16:17" x14ac:dyDescent="0.25">
      <c r="P2367"/>
      <c r="Q2367"/>
    </row>
    <row r="2368" spans="16:17" x14ac:dyDescent="0.25">
      <c r="P2368"/>
      <c r="Q2368"/>
    </row>
    <row r="2369" spans="16:17" x14ac:dyDescent="0.25">
      <c r="P2369"/>
      <c r="Q2369"/>
    </row>
    <row r="2370" spans="16:17" x14ac:dyDescent="0.25">
      <c r="P2370"/>
      <c r="Q2370"/>
    </row>
    <row r="2371" spans="16:17" x14ac:dyDescent="0.25">
      <c r="P2371"/>
      <c r="Q2371"/>
    </row>
    <row r="2372" spans="16:17" x14ac:dyDescent="0.25">
      <c r="P2372"/>
      <c r="Q2372"/>
    </row>
    <row r="2373" spans="16:17" x14ac:dyDescent="0.25">
      <c r="P2373"/>
      <c r="Q2373"/>
    </row>
    <row r="2374" spans="16:17" x14ac:dyDescent="0.25">
      <c r="P2374"/>
      <c r="Q2374"/>
    </row>
    <row r="2375" spans="16:17" x14ac:dyDescent="0.25">
      <c r="P2375"/>
      <c r="Q2375"/>
    </row>
    <row r="2376" spans="16:17" x14ac:dyDescent="0.25">
      <c r="P2376"/>
      <c r="Q2376"/>
    </row>
    <row r="2377" spans="16:17" x14ac:dyDescent="0.25">
      <c r="P2377"/>
      <c r="Q2377"/>
    </row>
    <row r="2378" spans="16:17" x14ac:dyDescent="0.25">
      <c r="P2378"/>
      <c r="Q2378"/>
    </row>
    <row r="2379" spans="16:17" x14ac:dyDescent="0.25">
      <c r="P2379"/>
      <c r="Q2379"/>
    </row>
    <row r="2380" spans="16:17" x14ac:dyDescent="0.25">
      <c r="P2380"/>
      <c r="Q2380"/>
    </row>
    <row r="2381" spans="16:17" x14ac:dyDescent="0.25">
      <c r="P2381"/>
      <c r="Q2381"/>
    </row>
    <row r="2382" spans="16:17" x14ac:dyDescent="0.25">
      <c r="P2382"/>
      <c r="Q2382"/>
    </row>
    <row r="2383" spans="16:17" x14ac:dyDescent="0.25">
      <c r="P2383"/>
      <c r="Q2383"/>
    </row>
    <row r="2384" spans="16:17" x14ac:dyDescent="0.25">
      <c r="P2384"/>
      <c r="Q2384"/>
    </row>
    <row r="2385" spans="16:17" x14ac:dyDescent="0.25">
      <c r="P2385"/>
      <c r="Q2385"/>
    </row>
    <row r="2386" spans="16:17" x14ac:dyDescent="0.25">
      <c r="P2386"/>
      <c r="Q2386"/>
    </row>
    <row r="2387" spans="16:17" x14ac:dyDescent="0.25">
      <c r="P2387"/>
      <c r="Q2387"/>
    </row>
    <row r="2388" spans="16:17" x14ac:dyDescent="0.25">
      <c r="P2388"/>
      <c r="Q2388"/>
    </row>
    <row r="2389" spans="16:17" x14ac:dyDescent="0.25">
      <c r="P2389"/>
      <c r="Q2389"/>
    </row>
    <row r="2390" spans="16:17" x14ac:dyDescent="0.25">
      <c r="P2390"/>
      <c r="Q2390"/>
    </row>
    <row r="2391" spans="16:17" x14ac:dyDescent="0.25">
      <c r="P2391"/>
      <c r="Q2391"/>
    </row>
    <row r="2392" spans="16:17" x14ac:dyDescent="0.25">
      <c r="P2392"/>
      <c r="Q2392"/>
    </row>
    <row r="2393" spans="16:17" x14ac:dyDescent="0.25">
      <c r="P2393"/>
      <c r="Q2393"/>
    </row>
    <row r="2394" spans="16:17" x14ac:dyDescent="0.25">
      <c r="P2394"/>
      <c r="Q2394"/>
    </row>
    <row r="2395" spans="16:17" x14ac:dyDescent="0.25">
      <c r="P2395"/>
      <c r="Q2395"/>
    </row>
    <row r="2396" spans="16:17" x14ac:dyDescent="0.25">
      <c r="P2396"/>
      <c r="Q2396"/>
    </row>
    <row r="2397" spans="16:17" x14ac:dyDescent="0.25">
      <c r="P2397"/>
      <c r="Q2397"/>
    </row>
    <row r="2398" spans="16:17" x14ac:dyDescent="0.25">
      <c r="P2398"/>
      <c r="Q2398"/>
    </row>
    <row r="2399" spans="16:17" x14ac:dyDescent="0.25">
      <c r="P2399"/>
      <c r="Q2399"/>
    </row>
    <row r="2400" spans="16:17" x14ac:dyDescent="0.25">
      <c r="P2400"/>
      <c r="Q2400"/>
    </row>
    <row r="2401" spans="16:17" x14ac:dyDescent="0.25">
      <c r="P2401"/>
      <c r="Q2401"/>
    </row>
    <row r="2402" spans="16:17" x14ac:dyDescent="0.25">
      <c r="P2402"/>
      <c r="Q2402"/>
    </row>
    <row r="2403" spans="16:17" x14ac:dyDescent="0.25">
      <c r="P2403"/>
      <c r="Q2403"/>
    </row>
    <row r="2404" spans="16:17" x14ac:dyDescent="0.25">
      <c r="P2404"/>
      <c r="Q2404"/>
    </row>
    <row r="2405" spans="16:17" x14ac:dyDescent="0.25">
      <c r="P2405"/>
      <c r="Q2405"/>
    </row>
    <row r="2406" spans="16:17" x14ac:dyDescent="0.25">
      <c r="P2406"/>
      <c r="Q2406"/>
    </row>
    <row r="2407" spans="16:17" x14ac:dyDescent="0.25">
      <c r="P2407"/>
      <c r="Q2407"/>
    </row>
    <row r="2408" spans="16:17" x14ac:dyDescent="0.25">
      <c r="P2408"/>
      <c r="Q2408"/>
    </row>
    <row r="2409" spans="16:17" x14ac:dyDescent="0.25">
      <c r="P2409"/>
      <c r="Q2409"/>
    </row>
    <row r="2410" spans="16:17" x14ac:dyDescent="0.25">
      <c r="P2410"/>
      <c r="Q2410"/>
    </row>
    <row r="2411" spans="16:17" x14ac:dyDescent="0.25">
      <c r="P2411"/>
      <c r="Q2411"/>
    </row>
    <row r="2412" spans="16:17" x14ac:dyDescent="0.25">
      <c r="P2412"/>
      <c r="Q2412"/>
    </row>
    <row r="2413" spans="16:17" x14ac:dyDescent="0.25">
      <c r="P2413"/>
      <c r="Q2413"/>
    </row>
    <row r="2414" spans="16:17" x14ac:dyDescent="0.25">
      <c r="P2414"/>
      <c r="Q2414"/>
    </row>
    <row r="2415" spans="16:17" x14ac:dyDescent="0.25">
      <c r="P2415"/>
      <c r="Q2415"/>
    </row>
    <row r="2416" spans="16:17" x14ac:dyDescent="0.25">
      <c r="P2416"/>
      <c r="Q2416"/>
    </row>
    <row r="2417" spans="16:17" x14ac:dyDescent="0.25">
      <c r="P2417"/>
      <c r="Q2417"/>
    </row>
    <row r="2418" spans="16:17" x14ac:dyDescent="0.25">
      <c r="P2418"/>
      <c r="Q2418"/>
    </row>
    <row r="2419" spans="16:17" x14ac:dyDescent="0.25">
      <c r="P2419"/>
      <c r="Q2419"/>
    </row>
    <row r="2420" spans="16:17" x14ac:dyDescent="0.25">
      <c r="P2420"/>
      <c r="Q2420"/>
    </row>
    <row r="2421" spans="16:17" x14ac:dyDescent="0.25">
      <c r="P2421"/>
      <c r="Q2421"/>
    </row>
    <row r="2422" spans="16:17" x14ac:dyDescent="0.25">
      <c r="P2422"/>
      <c r="Q2422"/>
    </row>
    <row r="2423" spans="16:17" x14ac:dyDescent="0.25">
      <c r="P2423"/>
      <c r="Q2423"/>
    </row>
    <row r="2424" spans="16:17" x14ac:dyDescent="0.25">
      <c r="P2424"/>
      <c r="Q2424"/>
    </row>
    <row r="2425" spans="16:17" x14ac:dyDescent="0.25">
      <c r="P2425"/>
      <c r="Q2425"/>
    </row>
    <row r="2426" spans="16:17" x14ac:dyDescent="0.25">
      <c r="P2426"/>
      <c r="Q2426"/>
    </row>
    <row r="2427" spans="16:17" x14ac:dyDescent="0.25">
      <c r="P2427"/>
      <c r="Q2427"/>
    </row>
    <row r="2428" spans="16:17" x14ac:dyDescent="0.25">
      <c r="P2428"/>
      <c r="Q2428"/>
    </row>
    <row r="2429" spans="16:17" x14ac:dyDescent="0.25">
      <c r="P2429"/>
      <c r="Q2429"/>
    </row>
    <row r="2430" spans="16:17" x14ac:dyDescent="0.25">
      <c r="P2430"/>
      <c r="Q2430"/>
    </row>
    <row r="2431" spans="16:17" x14ac:dyDescent="0.25">
      <c r="P2431"/>
      <c r="Q2431"/>
    </row>
    <row r="2432" spans="16:17" x14ac:dyDescent="0.25">
      <c r="P2432"/>
      <c r="Q2432"/>
    </row>
    <row r="2433" spans="16:17" x14ac:dyDescent="0.25">
      <c r="P2433"/>
      <c r="Q2433"/>
    </row>
    <row r="2434" spans="16:17" x14ac:dyDescent="0.25">
      <c r="P2434"/>
      <c r="Q2434"/>
    </row>
    <row r="2435" spans="16:17" x14ac:dyDescent="0.25">
      <c r="P2435"/>
      <c r="Q2435"/>
    </row>
    <row r="2436" spans="16:17" x14ac:dyDescent="0.25">
      <c r="P2436"/>
      <c r="Q2436"/>
    </row>
    <row r="2437" spans="16:17" x14ac:dyDescent="0.25">
      <c r="P2437"/>
      <c r="Q2437"/>
    </row>
    <row r="2438" spans="16:17" x14ac:dyDescent="0.25">
      <c r="P2438"/>
      <c r="Q2438"/>
    </row>
    <row r="2439" spans="16:17" x14ac:dyDescent="0.25">
      <c r="P2439"/>
      <c r="Q2439"/>
    </row>
    <row r="2440" spans="16:17" x14ac:dyDescent="0.25">
      <c r="P2440"/>
      <c r="Q2440"/>
    </row>
    <row r="2441" spans="16:17" x14ac:dyDescent="0.25">
      <c r="P2441"/>
      <c r="Q2441"/>
    </row>
    <row r="2442" spans="16:17" x14ac:dyDescent="0.25">
      <c r="P2442"/>
      <c r="Q2442"/>
    </row>
    <row r="2443" spans="16:17" x14ac:dyDescent="0.25">
      <c r="P2443"/>
      <c r="Q2443"/>
    </row>
    <row r="2444" spans="16:17" x14ac:dyDescent="0.25">
      <c r="P2444"/>
      <c r="Q2444"/>
    </row>
    <row r="2445" spans="16:17" x14ac:dyDescent="0.25">
      <c r="P2445"/>
      <c r="Q2445"/>
    </row>
    <row r="2446" spans="16:17" x14ac:dyDescent="0.25">
      <c r="P2446"/>
      <c r="Q2446"/>
    </row>
    <row r="2447" spans="16:17" x14ac:dyDescent="0.25">
      <c r="P2447"/>
      <c r="Q2447"/>
    </row>
    <row r="2448" spans="16:17" x14ac:dyDescent="0.25">
      <c r="P2448"/>
      <c r="Q2448"/>
    </row>
    <row r="2449" spans="16:17" x14ac:dyDescent="0.25">
      <c r="P2449"/>
      <c r="Q2449"/>
    </row>
    <row r="2450" spans="16:17" x14ac:dyDescent="0.25">
      <c r="P2450"/>
      <c r="Q2450"/>
    </row>
    <row r="2451" spans="16:17" x14ac:dyDescent="0.25">
      <c r="P2451"/>
      <c r="Q2451"/>
    </row>
    <row r="2452" spans="16:17" x14ac:dyDescent="0.25">
      <c r="P2452"/>
      <c r="Q2452"/>
    </row>
    <row r="2453" spans="16:17" x14ac:dyDescent="0.25">
      <c r="P2453"/>
      <c r="Q2453"/>
    </row>
    <row r="2454" spans="16:17" x14ac:dyDescent="0.25">
      <c r="P2454"/>
      <c r="Q2454"/>
    </row>
    <row r="2455" spans="16:17" x14ac:dyDescent="0.25">
      <c r="P2455"/>
      <c r="Q2455"/>
    </row>
    <row r="2456" spans="16:17" x14ac:dyDescent="0.25">
      <c r="P2456"/>
      <c r="Q2456"/>
    </row>
    <row r="2457" spans="16:17" x14ac:dyDescent="0.25">
      <c r="P2457"/>
      <c r="Q2457"/>
    </row>
    <row r="2458" spans="16:17" x14ac:dyDescent="0.25">
      <c r="P2458"/>
      <c r="Q2458"/>
    </row>
    <row r="2459" spans="16:17" x14ac:dyDescent="0.25">
      <c r="P2459"/>
      <c r="Q2459"/>
    </row>
    <row r="2460" spans="16:17" x14ac:dyDescent="0.25">
      <c r="P2460"/>
      <c r="Q2460"/>
    </row>
    <row r="2461" spans="16:17" x14ac:dyDescent="0.25">
      <c r="P2461"/>
      <c r="Q2461"/>
    </row>
    <row r="2462" spans="16:17" x14ac:dyDescent="0.25">
      <c r="P2462"/>
      <c r="Q2462"/>
    </row>
    <row r="2463" spans="16:17" x14ac:dyDescent="0.25">
      <c r="P2463"/>
      <c r="Q2463"/>
    </row>
    <row r="2464" spans="16:17" x14ac:dyDescent="0.25">
      <c r="P2464"/>
      <c r="Q2464"/>
    </row>
    <row r="2465" spans="16:17" x14ac:dyDescent="0.25">
      <c r="P2465"/>
      <c r="Q2465"/>
    </row>
    <row r="2466" spans="16:17" x14ac:dyDescent="0.25">
      <c r="P2466"/>
      <c r="Q2466"/>
    </row>
    <row r="2467" spans="16:17" x14ac:dyDescent="0.25">
      <c r="P2467"/>
      <c r="Q2467"/>
    </row>
    <row r="2468" spans="16:17" x14ac:dyDescent="0.25">
      <c r="P2468"/>
      <c r="Q2468"/>
    </row>
    <row r="2469" spans="16:17" x14ac:dyDescent="0.25">
      <c r="P2469"/>
      <c r="Q2469"/>
    </row>
    <row r="2470" spans="16:17" x14ac:dyDescent="0.25">
      <c r="P2470"/>
      <c r="Q2470"/>
    </row>
    <row r="2471" spans="16:17" x14ac:dyDescent="0.25">
      <c r="P2471"/>
      <c r="Q2471"/>
    </row>
    <row r="2472" spans="16:17" x14ac:dyDescent="0.25">
      <c r="P2472"/>
      <c r="Q2472"/>
    </row>
    <row r="2473" spans="16:17" x14ac:dyDescent="0.25">
      <c r="P2473"/>
      <c r="Q2473"/>
    </row>
    <row r="2474" spans="16:17" x14ac:dyDescent="0.25">
      <c r="P2474"/>
      <c r="Q2474"/>
    </row>
    <row r="2475" spans="16:17" x14ac:dyDescent="0.25">
      <c r="P2475"/>
      <c r="Q2475"/>
    </row>
    <row r="2476" spans="16:17" x14ac:dyDescent="0.25">
      <c r="P2476"/>
      <c r="Q2476"/>
    </row>
    <row r="2477" spans="16:17" x14ac:dyDescent="0.25">
      <c r="P2477"/>
      <c r="Q2477"/>
    </row>
    <row r="2478" spans="16:17" x14ac:dyDescent="0.25">
      <c r="P2478"/>
      <c r="Q2478"/>
    </row>
    <row r="2479" spans="16:17" x14ac:dyDescent="0.25">
      <c r="P2479"/>
      <c r="Q2479"/>
    </row>
    <row r="2480" spans="16:17" x14ac:dyDescent="0.25">
      <c r="P2480"/>
      <c r="Q2480"/>
    </row>
    <row r="2481" spans="16:17" x14ac:dyDescent="0.25">
      <c r="P2481"/>
      <c r="Q2481"/>
    </row>
    <row r="2482" spans="16:17" x14ac:dyDescent="0.25">
      <c r="P2482"/>
      <c r="Q2482"/>
    </row>
    <row r="2483" spans="16:17" x14ac:dyDescent="0.25">
      <c r="P2483"/>
      <c r="Q2483"/>
    </row>
    <row r="2484" spans="16:17" x14ac:dyDescent="0.25">
      <c r="P2484"/>
      <c r="Q2484"/>
    </row>
    <row r="2485" spans="16:17" x14ac:dyDescent="0.25">
      <c r="P2485"/>
      <c r="Q2485"/>
    </row>
    <row r="2486" spans="16:17" x14ac:dyDescent="0.25">
      <c r="P2486"/>
      <c r="Q2486"/>
    </row>
    <row r="2487" spans="16:17" x14ac:dyDescent="0.25">
      <c r="P2487"/>
      <c r="Q2487"/>
    </row>
    <row r="2488" spans="16:17" x14ac:dyDescent="0.25">
      <c r="P2488"/>
      <c r="Q2488"/>
    </row>
    <row r="2489" spans="16:17" x14ac:dyDescent="0.25">
      <c r="P2489"/>
      <c r="Q2489"/>
    </row>
    <row r="2490" spans="16:17" x14ac:dyDescent="0.25">
      <c r="P2490"/>
      <c r="Q2490"/>
    </row>
    <row r="2491" spans="16:17" x14ac:dyDescent="0.25">
      <c r="P2491"/>
      <c r="Q2491"/>
    </row>
    <row r="2492" spans="16:17" x14ac:dyDescent="0.25">
      <c r="P2492"/>
      <c r="Q2492"/>
    </row>
    <row r="2493" spans="16:17" x14ac:dyDescent="0.25">
      <c r="P2493"/>
      <c r="Q2493"/>
    </row>
    <row r="2494" spans="16:17" x14ac:dyDescent="0.25">
      <c r="P2494"/>
      <c r="Q2494"/>
    </row>
    <row r="2495" spans="16:17" x14ac:dyDescent="0.25">
      <c r="P2495"/>
      <c r="Q2495"/>
    </row>
    <row r="2496" spans="16:17" x14ac:dyDescent="0.25">
      <c r="P2496"/>
      <c r="Q2496"/>
    </row>
    <row r="2497" spans="16:17" x14ac:dyDescent="0.25">
      <c r="P2497"/>
      <c r="Q2497"/>
    </row>
    <row r="2498" spans="16:17" x14ac:dyDescent="0.25">
      <c r="P2498"/>
      <c r="Q2498"/>
    </row>
    <row r="2499" spans="16:17" x14ac:dyDescent="0.25">
      <c r="P2499"/>
      <c r="Q2499"/>
    </row>
    <row r="2500" spans="16:17" x14ac:dyDescent="0.25">
      <c r="P2500"/>
      <c r="Q2500"/>
    </row>
    <row r="2501" spans="16:17" x14ac:dyDescent="0.25">
      <c r="P2501"/>
      <c r="Q2501"/>
    </row>
    <row r="2502" spans="16:17" x14ac:dyDescent="0.25">
      <c r="P2502"/>
      <c r="Q2502"/>
    </row>
    <row r="2503" spans="16:17" x14ac:dyDescent="0.25">
      <c r="P2503"/>
      <c r="Q2503"/>
    </row>
    <row r="2504" spans="16:17" x14ac:dyDescent="0.25">
      <c r="P2504"/>
      <c r="Q2504"/>
    </row>
    <row r="2505" spans="16:17" x14ac:dyDescent="0.25">
      <c r="P2505"/>
      <c r="Q2505"/>
    </row>
    <row r="2506" spans="16:17" x14ac:dyDescent="0.25">
      <c r="P2506"/>
      <c r="Q2506"/>
    </row>
    <row r="2507" spans="16:17" x14ac:dyDescent="0.25">
      <c r="P2507"/>
      <c r="Q2507"/>
    </row>
    <row r="2508" spans="16:17" x14ac:dyDescent="0.25">
      <c r="P2508"/>
      <c r="Q2508"/>
    </row>
    <row r="2509" spans="16:17" x14ac:dyDescent="0.25">
      <c r="P2509"/>
      <c r="Q2509"/>
    </row>
    <row r="2510" spans="16:17" x14ac:dyDescent="0.25">
      <c r="P2510"/>
      <c r="Q2510"/>
    </row>
    <row r="2511" spans="16:17" x14ac:dyDescent="0.25">
      <c r="P2511"/>
      <c r="Q2511"/>
    </row>
    <row r="2512" spans="16:17" x14ac:dyDescent="0.25">
      <c r="P2512"/>
      <c r="Q2512"/>
    </row>
    <row r="2513" spans="16:17" x14ac:dyDescent="0.25">
      <c r="P2513"/>
      <c r="Q2513"/>
    </row>
    <row r="2514" spans="16:17" x14ac:dyDescent="0.25">
      <c r="P2514"/>
      <c r="Q2514"/>
    </row>
    <row r="2515" spans="16:17" x14ac:dyDescent="0.25">
      <c r="P2515"/>
      <c r="Q2515"/>
    </row>
    <row r="2516" spans="16:17" x14ac:dyDescent="0.25">
      <c r="P2516"/>
      <c r="Q2516"/>
    </row>
    <row r="2517" spans="16:17" x14ac:dyDescent="0.25">
      <c r="P2517"/>
      <c r="Q2517"/>
    </row>
    <row r="2518" spans="16:17" x14ac:dyDescent="0.25">
      <c r="P2518"/>
      <c r="Q2518"/>
    </row>
    <row r="2519" spans="16:17" x14ac:dyDescent="0.25">
      <c r="P2519"/>
      <c r="Q2519"/>
    </row>
    <row r="2520" spans="16:17" x14ac:dyDescent="0.25">
      <c r="P2520"/>
      <c r="Q2520"/>
    </row>
    <row r="2521" spans="16:17" x14ac:dyDescent="0.25">
      <c r="P2521"/>
      <c r="Q2521"/>
    </row>
    <row r="2522" spans="16:17" x14ac:dyDescent="0.25">
      <c r="P2522"/>
      <c r="Q2522"/>
    </row>
    <row r="2523" spans="16:17" x14ac:dyDescent="0.25">
      <c r="P2523"/>
      <c r="Q2523"/>
    </row>
    <row r="2524" spans="16:17" x14ac:dyDescent="0.25">
      <c r="P2524"/>
      <c r="Q2524"/>
    </row>
    <row r="2525" spans="16:17" x14ac:dyDescent="0.25">
      <c r="P2525"/>
      <c r="Q2525"/>
    </row>
    <row r="2526" spans="16:17" x14ac:dyDescent="0.25">
      <c r="P2526"/>
      <c r="Q2526"/>
    </row>
    <row r="2527" spans="16:17" x14ac:dyDescent="0.25">
      <c r="P2527"/>
      <c r="Q2527"/>
    </row>
    <row r="2528" spans="16:17" x14ac:dyDescent="0.25">
      <c r="P2528"/>
      <c r="Q2528"/>
    </row>
    <row r="2529" spans="16:17" x14ac:dyDescent="0.25">
      <c r="P2529"/>
      <c r="Q2529"/>
    </row>
    <row r="2530" spans="16:17" x14ac:dyDescent="0.25">
      <c r="P2530"/>
      <c r="Q2530"/>
    </row>
    <row r="2531" spans="16:17" x14ac:dyDescent="0.25">
      <c r="P2531"/>
      <c r="Q2531"/>
    </row>
    <row r="2532" spans="16:17" x14ac:dyDescent="0.25">
      <c r="P2532"/>
      <c r="Q2532"/>
    </row>
    <row r="2533" spans="16:17" x14ac:dyDescent="0.25">
      <c r="P2533"/>
      <c r="Q2533"/>
    </row>
    <row r="2534" spans="16:17" x14ac:dyDescent="0.25">
      <c r="P2534"/>
      <c r="Q2534"/>
    </row>
    <row r="2535" spans="16:17" x14ac:dyDescent="0.25">
      <c r="P2535"/>
      <c r="Q2535"/>
    </row>
    <row r="2536" spans="16:17" x14ac:dyDescent="0.25">
      <c r="P2536"/>
      <c r="Q2536"/>
    </row>
    <row r="2537" spans="16:17" x14ac:dyDescent="0.25">
      <c r="P2537"/>
      <c r="Q2537"/>
    </row>
    <row r="2538" spans="16:17" x14ac:dyDescent="0.25">
      <c r="P2538"/>
      <c r="Q2538"/>
    </row>
    <row r="2539" spans="16:17" x14ac:dyDescent="0.25">
      <c r="P2539"/>
      <c r="Q2539"/>
    </row>
    <row r="2540" spans="16:17" x14ac:dyDescent="0.25">
      <c r="P2540"/>
      <c r="Q2540"/>
    </row>
    <row r="2541" spans="16:17" x14ac:dyDescent="0.25">
      <c r="P2541"/>
      <c r="Q2541"/>
    </row>
    <row r="2542" spans="16:17" x14ac:dyDescent="0.25">
      <c r="P2542"/>
      <c r="Q2542"/>
    </row>
    <row r="2543" spans="16:17" x14ac:dyDescent="0.25">
      <c r="P2543"/>
      <c r="Q2543"/>
    </row>
    <row r="2544" spans="16:17" x14ac:dyDescent="0.25">
      <c r="P2544"/>
      <c r="Q2544"/>
    </row>
    <row r="2545" spans="16:17" x14ac:dyDescent="0.25">
      <c r="P2545"/>
      <c r="Q2545"/>
    </row>
    <row r="2546" spans="16:17" x14ac:dyDescent="0.25">
      <c r="P2546"/>
      <c r="Q2546"/>
    </row>
    <row r="2547" spans="16:17" x14ac:dyDescent="0.25">
      <c r="P2547"/>
      <c r="Q2547"/>
    </row>
    <row r="2548" spans="16:17" x14ac:dyDescent="0.25">
      <c r="P2548"/>
      <c r="Q2548"/>
    </row>
    <row r="2549" spans="16:17" x14ac:dyDescent="0.25">
      <c r="P2549"/>
      <c r="Q2549"/>
    </row>
    <row r="2550" spans="16:17" x14ac:dyDescent="0.25">
      <c r="P2550"/>
      <c r="Q2550"/>
    </row>
    <row r="2551" spans="16:17" x14ac:dyDescent="0.25">
      <c r="P2551"/>
      <c r="Q2551"/>
    </row>
    <row r="2552" spans="16:17" x14ac:dyDescent="0.25">
      <c r="P2552"/>
      <c r="Q2552"/>
    </row>
    <row r="2553" spans="16:17" x14ac:dyDescent="0.25">
      <c r="P2553"/>
      <c r="Q2553"/>
    </row>
    <row r="2554" spans="16:17" x14ac:dyDescent="0.25">
      <c r="P2554"/>
      <c r="Q2554"/>
    </row>
    <row r="2555" spans="16:17" x14ac:dyDescent="0.25">
      <c r="P2555"/>
      <c r="Q2555"/>
    </row>
    <row r="2556" spans="16:17" x14ac:dyDescent="0.25">
      <c r="P2556"/>
      <c r="Q2556"/>
    </row>
    <row r="2557" spans="16:17" x14ac:dyDescent="0.25">
      <c r="P2557"/>
      <c r="Q2557"/>
    </row>
    <row r="2558" spans="16:17" x14ac:dyDescent="0.25">
      <c r="P2558"/>
      <c r="Q2558"/>
    </row>
    <row r="2559" spans="16:17" x14ac:dyDescent="0.25">
      <c r="P2559"/>
      <c r="Q2559"/>
    </row>
    <row r="2560" spans="16:17" x14ac:dyDescent="0.25">
      <c r="P2560"/>
      <c r="Q2560"/>
    </row>
    <row r="2561" spans="16:17" x14ac:dyDescent="0.25">
      <c r="P2561"/>
      <c r="Q2561"/>
    </row>
    <row r="2562" spans="16:17" x14ac:dyDescent="0.25">
      <c r="P2562"/>
      <c r="Q2562"/>
    </row>
    <row r="2563" spans="16:17" x14ac:dyDescent="0.25">
      <c r="P2563"/>
      <c r="Q2563"/>
    </row>
    <row r="2564" spans="16:17" x14ac:dyDescent="0.25">
      <c r="P2564"/>
      <c r="Q2564"/>
    </row>
    <row r="2565" spans="16:17" x14ac:dyDescent="0.25">
      <c r="P2565"/>
      <c r="Q2565"/>
    </row>
    <row r="2566" spans="16:17" x14ac:dyDescent="0.25">
      <c r="P2566"/>
      <c r="Q2566"/>
    </row>
    <row r="2567" spans="16:17" x14ac:dyDescent="0.25">
      <c r="P2567"/>
      <c r="Q2567"/>
    </row>
    <row r="2568" spans="16:17" x14ac:dyDescent="0.25">
      <c r="P2568"/>
      <c r="Q2568"/>
    </row>
    <row r="2569" spans="16:17" x14ac:dyDescent="0.25">
      <c r="P2569"/>
      <c r="Q2569"/>
    </row>
    <row r="2570" spans="16:17" x14ac:dyDescent="0.25">
      <c r="P2570"/>
      <c r="Q2570"/>
    </row>
    <row r="2571" spans="16:17" x14ac:dyDescent="0.25">
      <c r="P2571"/>
      <c r="Q2571"/>
    </row>
    <row r="2572" spans="16:17" x14ac:dyDescent="0.25">
      <c r="P2572"/>
      <c r="Q2572"/>
    </row>
    <row r="2573" spans="16:17" x14ac:dyDescent="0.25">
      <c r="P2573"/>
      <c r="Q2573"/>
    </row>
    <row r="2574" spans="16:17" x14ac:dyDescent="0.25">
      <c r="P2574"/>
      <c r="Q2574"/>
    </row>
    <row r="2575" spans="16:17" x14ac:dyDescent="0.25">
      <c r="P2575"/>
      <c r="Q2575"/>
    </row>
    <row r="2576" spans="16:17" x14ac:dyDescent="0.25">
      <c r="P2576"/>
      <c r="Q2576"/>
    </row>
    <row r="2577" spans="16:17" x14ac:dyDescent="0.25">
      <c r="P2577"/>
      <c r="Q2577"/>
    </row>
    <row r="2578" spans="16:17" x14ac:dyDescent="0.25">
      <c r="P2578"/>
      <c r="Q2578"/>
    </row>
    <row r="2579" spans="16:17" x14ac:dyDescent="0.25">
      <c r="P2579"/>
      <c r="Q2579"/>
    </row>
    <row r="2580" spans="16:17" x14ac:dyDescent="0.25">
      <c r="P2580"/>
      <c r="Q2580"/>
    </row>
    <row r="2581" spans="16:17" x14ac:dyDescent="0.25">
      <c r="P2581"/>
      <c r="Q2581"/>
    </row>
    <row r="2582" spans="16:17" x14ac:dyDescent="0.25">
      <c r="P2582"/>
      <c r="Q2582"/>
    </row>
    <row r="2583" spans="16:17" x14ac:dyDescent="0.25">
      <c r="P2583"/>
      <c r="Q2583"/>
    </row>
    <row r="2584" spans="16:17" x14ac:dyDescent="0.25">
      <c r="P2584"/>
      <c r="Q2584"/>
    </row>
    <row r="2585" spans="16:17" x14ac:dyDescent="0.25">
      <c r="P2585"/>
      <c r="Q2585"/>
    </row>
    <row r="2586" spans="16:17" x14ac:dyDescent="0.25">
      <c r="P2586"/>
      <c r="Q2586"/>
    </row>
    <row r="2587" spans="16:17" x14ac:dyDescent="0.25">
      <c r="P2587"/>
      <c r="Q2587"/>
    </row>
    <row r="2588" spans="16:17" x14ac:dyDescent="0.25">
      <c r="P2588"/>
      <c r="Q2588"/>
    </row>
    <row r="2589" spans="16:17" x14ac:dyDescent="0.25">
      <c r="P2589"/>
      <c r="Q2589"/>
    </row>
    <row r="2590" spans="16:17" x14ac:dyDescent="0.25">
      <c r="P2590"/>
      <c r="Q2590"/>
    </row>
    <row r="2591" spans="16:17" x14ac:dyDescent="0.25">
      <c r="P2591"/>
      <c r="Q2591"/>
    </row>
    <row r="2592" spans="16:17" x14ac:dyDescent="0.25">
      <c r="P2592"/>
      <c r="Q2592"/>
    </row>
    <row r="2593" spans="16:17" x14ac:dyDescent="0.25">
      <c r="P2593"/>
      <c r="Q2593"/>
    </row>
    <row r="2594" spans="16:17" x14ac:dyDescent="0.25">
      <c r="P2594"/>
      <c r="Q2594"/>
    </row>
    <row r="2595" spans="16:17" x14ac:dyDescent="0.25">
      <c r="P2595"/>
      <c r="Q2595"/>
    </row>
    <row r="2596" spans="16:17" x14ac:dyDescent="0.25">
      <c r="P2596"/>
      <c r="Q2596"/>
    </row>
    <row r="2597" spans="16:17" x14ac:dyDescent="0.25">
      <c r="P2597"/>
      <c r="Q2597"/>
    </row>
    <row r="2598" spans="16:17" x14ac:dyDescent="0.25">
      <c r="P2598"/>
      <c r="Q2598"/>
    </row>
    <row r="2599" spans="16:17" x14ac:dyDescent="0.25">
      <c r="P2599"/>
      <c r="Q2599"/>
    </row>
    <row r="2600" spans="16:17" x14ac:dyDescent="0.25">
      <c r="P2600"/>
      <c r="Q2600"/>
    </row>
    <row r="2601" spans="16:17" x14ac:dyDescent="0.25">
      <c r="P2601"/>
      <c r="Q2601"/>
    </row>
    <row r="2602" spans="16:17" x14ac:dyDescent="0.25">
      <c r="P2602"/>
      <c r="Q2602"/>
    </row>
    <row r="2603" spans="16:17" x14ac:dyDescent="0.25">
      <c r="P2603"/>
      <c r="Q2603"/>
    </row>
    <row r="2604" spans="16:17" x14ac:dyDescent="0.25">
      <c r="P2604"/>
      <c r="Q2604"/>
    </row>
    <row r="2605" spans="16:17" x14ac:dyDescent="0.25">
      <c r="P2605"/>
      <c r="Q2605"/>
    </row>
    <row r="2606" spans="16:17" x14ac:dyDescent="0.25">
      <c r="P2606"/>
      <c r="Q2606"/>
    </row>
    <row r="2607" spans="16:17" x14ac:dyDescent="0.25">
      <c r="P2607"/>
      <c r="Q2607"/>
    </row>
    <row r="2608" spans="16:17" x14ac:dyDescent="0.25">
      <c r="P2608"/>
      <c r="Q2608"/>
    </row>
    <row r="2609" spans="16:17" x14ac:dyDescent="0.25">
      <c r="P2609"/>
      <c r="Q2609"/>
    </row>
    <row r="2610" spans="16:17" x14ac:dyDescent="0.25">
      <c r="P2610"/>
      <c r="Q2610"/>
    </row>
    <row r="2611" spans="16:17" x14ac:dyDescent="0.25">
      <c r="P2611"/>
      <c r="Q2611"/>
    </row>
    <row r="2612" spans="16:17" x14ac:dyDescent="0.25">
      <c r="P2612"/>
      <c r="Q2612"/>
    </row>
    <row r="2613" spans="16:17" x14ac:dyDescent="0.25">
      <c r="P2613"/>
      <c r="Q2613"/>
    </row>
    <row r="2614" spans="16:17" x14ac:dyDescent="0.25">
      <c r="P2614"/>
      <c r="Q2614"/>
    </row>
    <row r="2615" spans="16:17" x14ac:dyDescent="0.25">
      <c r="P2615"/>
      <c r="Q2615"/>
    </row>
    <row r="2616" spans="16:17" x14ac:dyDescent="0.25">
      <c r="P2616"/>
      <c r="Q2616"/>
    </row>
    <row r="2617" spans="16:17" x14ac:dyDescent="0.25">
      <c r="P2617"/>
      <c r="Q2617"/>
    </row>
    <row r="2618" spans="16:17" x14ac:dyDescent="0.25">
      <c r="P2618"/>
      <c r="Q2618"/>
    </row>
    <row r="2619" spans="16:17" x14ac:dyDescent="0.25">
      <c r="P2619"/>
      <c r="Q2619"/>
    </row>
    <row r="2620" spans="16:17" x14ac:dyDescent="0.25">
      <c r="P2620"/>
      <c r="Q2620"/>
    </row>
    <row r="2621" spans="16:17" x14ac:dyDescent="0.25">
      <c r="P2621"/>
      <c r="Q2621"/>
    </row>
    <row r="2622" spans="16:17" x14ac:dyDescent="0.25">
      <c r="P2622"/>
      <c r="Q2622"/>
    </row>
    <row r="2623" spans="16:17" x14ac:dyDescent="0.25">
      <c r="P2623"/>
      <c r="Q2623"/>
    </row>
    <row r="2624" spans="16:17" x14ac:dyDescent="0.25">
      <c r="P2624"/>
      <c r="Q2624"/>
    </row>
    <row r="2625" spans="16:17" x14ac:dyDescent="0.25">
      <c r="P2625"/>
      <c r="Q2625"/>
    </row>
    <row r="2626" spans="16:17" x14ac:dyDescent="0.25">
      <c r="P2626"/>
      <c r="Q2626"/>
    </row>
    <row r="2627" spans="16:17" x14ac:dyDescent="0.25">
      <c r="P2627"/>
      <c r="Q2627"/>
    </row>
    <row r="2628" spans="16:17" x14ac:dyDescent="0.25">
      <c r="P2628"/>
      <c r="Q2628"/>
    </row>
    <row r="2629" spans="16:17" x14ac:dyDescent="0.25">
      <c r="P2629"/>
      <c r="Q2629"/>
    </row>
    <row r="2630" spans="16:17" x14ac:dyDescent="0.25">
      <c r="P2630"/>
      <c r="Q2630"/>
    </row>
    <row r="2631" spans="16:17" x14ac:dyDescent="0.25">
      <c r="P2631"/>
      <c r="Q2631"/>
    </row>
    <row r="2632" spans="16:17" x14ac:dyDescent="0.25">
      <c r="P2632"/>
      <c r="Q2632"/>
    </row>
    <row r="2633" spans="16:17" x14ac:dyDescent="0.25">
      <c r="P2633"/>
      <c r="Q2633"/>
    </row>
    <row r="2634" spans="16:17" x14ac:dyDescent="0.25">
      <c r="P2634"/>
      <c r="Q2634"/>
    </row>
    <row r="2635" spans="16:17" x14ac:dyDescent="0.25">
      <c r="P2635"/>
      <c r="Q2635"/>
    </row>
    <row r="2636" spans="16:17" x14ac:dyDescent="0.25">
      <c r="P2636"/>
      <c r="Q2636"/>
    </row>
    <row r="2637" spans="16:17" x14ac:dyDescent="0.25">
      <c r="P2637"/>
      <c r="Q2637"/>
    </row>
    <row r="2638" spans="16:17" x14ac:dyDescent="0.25">
      <c r="P2638"/>
      <c r="Q2638"/>
    </row>
    <row r="2639" spans="16:17" x14ac:dyDescent="0.25">
      <c r="P2639"/>
      <c r="Q2639"/>
    </row>
    <row r="2640" spans="16:17" x14ac:dyDescent="0.25">
      <c r="P2640"/>
      <c r="Q2640"/>
    </row>
    <row r="2641" spans="16:17" x14ac:dyDescent="0.25">
      <c r="P2641"/>
      <c r="Q2641"/>
    </row>
    <row r="2642" spans="16:17" x14ac:dyDescent="0.25">
      <c r="P2642"/>
      <c r="Q2642"/>
    </row>
  </sheetData>
  <mergeCells count="1">
    <mergeCell ref="B3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l_macros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666750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B12"/>
  <sheetViews>
    <sheetView zoomScale="70" zoomScaleNormal="7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J31" sqref="J31"/>
    </sheetView>
  </sheetViews>
  <sheetFormatPr defaultColWidth="14.42578125" defaultRowHeight="15" x14ac:dyDescent="0.25"/>
  <cols>
    <col min="1" max="1" width="1" style="41" customWidth="1"/>
    <col min="2" max="2" width="1" customWidth="1"/>
    <col min="3" max="3" width="5.7109375" customWidth="1"/>
    <col min="4" max="4" width="33.85546875" customWidth="1"/>
    <col min="5" max="6" width="23.42578125" customWidth="1"/>
    <col min="7" max="7" width="17.42578125" customWidth="1"/>
    <col min="8" max="9" width="21" customWidth="1"/>
    <col min="10" max="14" width="19.28515625" style="41" customWidth="1"/>
    <col min="15" max="15" width="21.5703125" customWidth="1"/>
    <col min="16" max="16" width="26.42578125" customWidth="1"/>
    <col min="17" max="17" width="23.42578125" customWidth="1"/>
    <col min="18" max="45" width="9.140625" customWidth="1"/>
    <col min="46" max="54" width="8.7109375" customWidth="1"/>
  </cols>
  <sheetData>
    <row r="1" spans="1:54" ht="16.5" thickBot="1" x14ac:dyDescent="0.3">
      <c r="A1" s="87">
        <f>COUNTA(Q:Q)</f>
        <v>11</v>
      </c>
      <c r="C1" s="42"/>
      <c r="J1" s="45"/>
      <c r="P1" s="26">
        <v>1</v>
      </c>
    </row>
    <row r="2" spans="1:54" ht="16.5" thickBot="1" x14ac:dyDescent="0.3">
      <c r="A2" s="45"/>
      <c r="B2" s="8"/>
      <c r="C2" s="42"/>
      <c r="D2" s="12"/>
      <c r="E2" s="39"/>
      <c r="F2" s="7"/>
      <c r="G2" s="7"/>
      <c r="H2" s="7"/>
      <c r="I2" s="7"/>
      <c r="J2" s="45"/>
      <c r="K2" s="45"/>
      <c r="M2" s="45"/>
      <c r="N2" s="45"/>
      <c r="O2" s="7"/>
      <c r="Q2" s="70" t="s">
        <v>77</v>
      </c>
      <c r="R2" s="8">
        <v>0.98647636272078432</v>
      </c>
      <c r="S2" s="7">
        <v>0.98678301130847967</v>
      </c>
      <c r="T2" s="8">
        <v>0.987150647026942</v>
      </c>
      <c r="U2" s="7">
        <v>0.98743075148821979</v>
      </c>
      <c r="V2" s="8">
        <v>0.98741473910791144</v>
      </c>
      <c r="W2" s="8">
        <v>0.9868579342982372</v>
      </c>
      <c r="X2" s="7">
        <v>0.98539436122542534</v>
      </c>
      <c r="Y2" s="7">
        <v>0.9851659685857902</v>
      </c>
      <c r="Z2" s="7">
        <v>0.98415186003431332</v>
      </c>
      <c r="AA2" s="7">
        <v>0.9840096234340614</v>
      </c>
      <c r="AB2" s="7">
        <v>0.98327266159662219</v>
      </c>
      <c r="AC2" s="7">
        <v>0.97977026679118662</v>
      </c>
      <c r="AD2" s="7">
        <v>0.97949700483501978</v>
      </c>
      <c r="AE2" s="7">
        <v>0.97922624291375382</v>
      </c>
      <c r="AF2" s="7">
        <v>0.97862018273598894</v>
      </c>
      <c r="AG2" s="7">
        <v>0.97557578952893165</v>
      </c>
      <c r="AH2" s="7">
        <v>0.97532440998061243</v>
      </c>
      <c r="AI2" s="7">
        <v>0.97503219102633631</v>
      </c>
      <c r="AJ2" s="7">
        <v>0.97459745773343875</v>
      </c>
      <c r="AK2" s="7">
        <v>0.97434894966355257</v>
      </c>
      <c r="AL2" s="7">
        <v>0.97398069617229355</v>
      </c>
      <c r="AM2" s="7">
        <v>0.97369220428062564</v>
      </c>
      <c r="AN2" s="7">
        <v>0.97328589229873264</v>
      </c>
      <c r="AO2" s="7">
        <v>0.97297530277669919</v>
      </c>
      <c r="AP2" s="7">
        <v>0.97264449566767341</v>
      </c>
      <c r="AQ2" s="7">
        <v>0.97230695226972974</v>
      </c>
      <c r="AR2" s="7">
        <v>0.97188724663159598</v>
      </c>
      <c r="AS2" s="7">
        <v>0.97149988993132042</v>
      </c>
      <c r="AT2" s="7"/>
      <c r="AU2" s="7"/>
      <c r="AV2" s="7"/>
      <c r="AW2" s="7"/>
      <c r="AX2" s="7"/>
      <c r="AY2" s="7"/>
      <c r="AZ2" s="7"/>
      <c r="BA2" s="7"/>
      <c r="BB2" s="7"/>
    </row>
    <row r="3" spans="1:54" ht="15.75" x14ac:dyDescent="0.25">
      <c r="A3" s="45"/>
      <c r="B3" s="50">
        <f>MAX(C:C)</f>
        <v>1</v>
      </c>
      <c r="C3" s="43"/>
      <c r="D3" s="12"/>
      <c r="E3" s="12"/>
      <c r="F3" s="12"/>
      <c r="G3" s="7"/>
      <c r="H3" s="7"/>
      <c r="I3" s="7"/>
      <c r="J3" s="45"/>
      <c r="K3" s="45"/>
      <c r="L3" s="45"/>
      <c r="M3" s="45"/>
      <c r="N3" s="45"/>
      <c r="O3" s="7"/>
      <c r="P3" s="8"/>
      <c r="Q3" s="70" t="s">
        <v>99</v>
      </c>
      <c r="R3" s="8">
        <v>0.9868079958545678</v>
      </c>
      <c r="S3" s="7">
        <v>0.98711421268735067</v>
      </c>
      <c r="T3" s="8">
        <v>0.98747433532959206</v>
      </c>
      <c r="U3" s="7">
        <v>0.9877518220039021</v>
      </c>
      <c r="V3" s="8">
        <v>0.9877381782679503</v>
      </c>
      <c r="W3" s="8">
        <v>0.98720317154259518</v>
      </c>
      <c r="X3" s="7">
        <v>0.98580158928348882</v>
      </c>
      <c r="Y3" s="7">
        <v>0.98557743426453326</v>
      </c>
      <c r="Z3" s="7">
        <v>0.98459441169706885</v>
      </c>
      <c r="AA3" s="7">
        <v>0.98445140989485047</v>
      </c>
      <c r="AB3" s="7">
        <v>0.98373656377979246</v>
      </c>
      <c r="AC3" s="7">
        <v>0.98034989021018049</v>
      </c>
      <c r="AD3" s="7">
        <v>0.98007950042865621</v>
      </c>
      <c r="AE3" s="7">
        <v>0.97981087072320094</v>
      </c>
      <c r="AF3" s="7">
        <v>0.97921863634116846</v>
      </c>
      <c r="AG3" s="7">
        <v>0.97627107561223447</v>
      </c>
      <c r="AH3" s="7">
        <v>0.97602083235345538</v>
      </c>
      <c r="AI3" s="7">
        <v>0.97573109685323511</v>
      </c>
      <c r="AJ3" s="7">
        <v>0.97530417178147333</v>
      </c>
      <c r="AK3" s="7">
        <v>0.97505744368255998</v>
      </c>
      <c r="AL3" s="7">
        <v>0.97469497245439674</v>
      </c>
      <c r="AM3" s="7">
        <v>0.97440974958231596</v>
      </c>
      <c r="AN3" s="7">
        <v>0.97401078545172581</v>
      </c>
      <c r="AO3" s="7">
        <v>0.97370734383427593</v>
      </c>
      <c r="AP3" s="7">
        <v>0.97338089679592144</v>
      </c>
      <c r="AQ3" s="7">
        <v>0.97304804971802794</v>
      </c>
      <c r="AR3" s="7">
        <v>0.97263649977499078</v>
      </c>
      <c r="AS3" s="7">
        <v>0.97225579374431592</v>
      </c>
      <c r="AT3" s="7"/>
      <c r="AU3" s="7"/>
      <c r="AV3" s="7"/>
      <c r="AW3" s="7"/>
      <c r="AX3" s="7"/>
      <c r="AY3" s="7"/>
      <c r="AZ3" s="7"/>
      <c r="BA3" s="7"/>
      <c r="BB3" s="7"/>
    </row>
    <row r="4" spans="1:54" ht="16.5" thickBot="1" x14ac:dyDescent="0.3">
      <c r="A4" s="45"/>
      <c r="B4" s="8"/>
      <c r="C4" s="20" t="s">
        <v>63</v>
      </c>
      <c r="D4" s="14" t="s">
        <v>52</v>
      </c>
      <c r="E4" s="15" t="s">
        <v>53</v>
      </c>
      <c r="F4" s="15" t="s">
        <v>12</v>
      </c>
      <c r="G4" s="16" t="s">
        <v>54</v>
      </c>
      <c r="H4" s="71" t="s">
        <v>55</v>
      </c>
      <c r="I4" s="71" t="s">
        <v>56</v>
      </c>
      <c r="J4" s="71" t="s">
        <v>68</v>
      </c>
      <c r="K4" s="71" t="s">
        <v>69</v>
      </c>
      <c r="L4" s="16" t="s">
        <v>70</v>
      </c>
      <c r="M4" s="16" t="s">
        <v>71</v>
      </c>
      <c r="N4" s="16" t="s">
        <v>72</v>
      </c>
      <c r="O4" s="16" t="s">
        <v>57</v>
      </c>
      <c r="P4" s="17" t="s">
        <v>0</v>
      </c>
      <c r="Q4" s="16" t="s">
        <v>58</v>
      </c>
      <c r="R4" s="49">
        <v>2023</v>
      </c>
      <c r="S4" s="18">
        <f t="shared" ref="S4:AS4" si="0">R4+1</f>
        <v>2024</v>
      </c>
      <c r="T4" s="18">
        <f t="shared" si="0"/>
        <v>2025</v>
      </c>
      <c r="U4" s="18">
        <f t="shared" si="0"/>
        <v>2026</v>
      </c>
      <c r="V4" s="18">
        <f t="shared" si="0"/>
        <v>2027</v>
      </c>
      <c r="W4" s="18">
        <f t="shared" si="0"/>
        <v>2028</v>
      </c>
      <c r="X4" s="18">
        <f t="shared" si="0"/>
        <v>2029</v>
      </c>
      <c r="Y4" s="18">
        <f t="shared" si="0"/>
        <v>2030</v>
      </c>
      <c r="Z4" s="18">
        <f t="shared" si="0"/>
        <v>2031</v>
      </c>
      <c r="AA4" s="18">
        <f t="shared" si="0"/>
        <v>2032</v>
      </c>
      <c r="AB4" s="18">
        <f t="shared" si="0"/>
        <v>2033</v>
      </c>
      <c r="AC4" s="18">
        <f t="shared" si="0"/>
        <v>2034</v>
      </c>
      <c r="AD4" s="18">
        <f t="shared" si="0"/>
        <v>2035</v>
      </c>
      <c r="AE4" s="18">
        <f t="shared" si="0"/>
        <v>2036</v>
      </c>
      <c r="AF4" s="18">
        <f t="shared" si="0"/>
        <v>2037</v>
      </c>
      <c r="AG4" s="18">
        <f t="shared" si="0"/>
        <v>2038</v>
      </c>
      <c r="AH4" s="18">
        <f t="shared" si="0"/>
        <v>2039</v>
      </c>
      <c r="AI4" s="18">
        <f t="shared" si="0"/>
        <v>2040</v>
      </c>
      <c r="AJ4" s="18">
        <f t="shared" si="0"/>
        <v>2041</v>
      </c>
      <c r="AK4" s="18">
        <f t="shared" si="0"/>
        <v>2042</v>
      </c>
      <c r="AL4" s="18">
        <f t="shared" si="0"/>
        <v>2043</v>
      </c>
      <c r="AM4" s="18">
        <f t="shared" si="0"/>
        <v>2044</v>
      </c>
      <c r="AN4" s="18">
        <f t="shared" si="0"/>
        <v>2045</v>
      </c>
      <c r="AO4" s="18">
        <f t="shared" si="0"/>
        <v>2046</v>
      </c>
      <c r="AP4" s="18">
        <f t="shared" si="0"/>
        <v>2047</v>
      </c>
      <c r="AQ4" s="18">
        <f t="shared" si="0"/>
        <v>2048</v>
      </c>
      <c r="AR4" s="18">
        <f t="shared" si="0"/>
        <v>2049</v>
      </c>
      <c r="AS4" s="18">
        <f t="shared" si="0"/>
        <v>2050</v>
      </c>
      <c r="AT4" s="7"/>
      <c r="AU4" s="7"/>
      <c r="AV4" s="7"/>
      <c r="AW4" s="7"/>
      <c r="AX4" s="7"/>
      <c r="AY4" s="7"/>
      <c r="AZ4" s="7"/>
      <c r="BA4" s="7"/>
      <c r="BB4" s="7"/>
    </row>
    <row r="5" spans="1:54" ht="18.75" x14ac:dyDescent="0.25">
      <c r="A5" s="46"/>
      <c r="B5" s="9">
        <f ca="1">COUNTA(INDIRECT(CONCATENATE("Списки!",MID(ADDRESS(1,MATCH($D5,Списки!$1:$1,0),4,1,),1,1),":",MID(ADDRESS(1,MATCH($D5,Списки!$1:$1,0),4,1,),1,1))))</f>
        <v>3</v>
      </c>
      <c r="C5" s="84">
        <f>A12</f>
        <v>1</v>
      </c>
      <c r="D5" s="40" t="s">
        <v>10</v>
      </c>
      <c r="E5" s="27" t="s">
        <v>27</v>
      </c>
      <c r="F5" s="27" t="s">
        <v>38</v>
      </c>
      <c r="G5" s="80"/>
      <c r="H5" s="28"/>
      <c r="I5" s="28"/>
      <c r="J5" s="38" t="s">
        <v>75</v>
      </c>
      <c r="K5" s="38"/>
      <c r="L5" s="38"/>
      <c r="M5" s="38"/>
      <c r="N5" s="38"/>
      <c r="O5" s="29" t="s">
        <v>59</v>
      </c>
      <c r="P5" s="37" t="str">
        <f>IF(OR($F5=Списки!$Q$2,$F5=Списки!$Q$3,$F5=Списки!$Q$4),"Газ осушенный","Газ сепарации")</f>
        <v>Газ сепарации</v>
      </c>
      <c r="Q5" s="29" t="s">
        <v>65</v>
      </c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1"/>
      <c r="AT5" s="10"/>
      <c r="AU5" s="10"/>
      <c r="AV5" s="10"/>
      <c r="AW5" s="10"/>
      <c r="AX5" s="10"/>
      <c r="AY5" s="10"/>
      <c r="AZ5" s="10"/>
      <c r="BA5" s="10"/>
      <c r="BB5" s="10"/>
    </row>
    <row r="6" spans="1:54" ht="18.75" x14ac:dyDescent="0.25">
      <c r="A6" s="44"/>
      <c r="B6" s="9"/>
      <c r="C6" s="85"/>
      <c r="D6" s="21" t="str">
        <f>D5</f>
        <v>ООО "Газпром добыча Ямбург"</v>
      </c>
      <c r="E6" s="22" t="str">
        <f t="shared" ref="E6:I10" si="1">E5</f>
        <v>Ямбургское</v>
      </c>
      <c r="F6" s="22" t="str">
        <f t="shared" si="1"/>
        <v>Неоком</v>
      </c>
      <c r="G6" s="22">
        <f t="shared" si="1"/>
        <v>0</v>
      </c>
      <c r="H6" s="47">
        <f t="shared" si="1"/>
        <v>0</v>
      </c>
      <c r="I6" s="51">
        <f t="shared" si="1"/>
        <v>0</v>
      </c>
      <c r="J6" s="36" t="str">
        <f>IF(OR(J5="ЗБС",J5="Бурение скважины"),"проходка, метры",IF(OR(J5="ГРП при бурении",J5="ГРП без бурения"),"тип жидкости",""))</f>
        <v>тип жидкости</v>
      </c>
      <c r="K6" s="36" t="str">
        <f t="shared" ref="K6:N6" si="2">IF(OR(K5="ЗБС",K5="Бурение скважины"),"проходка, метры",IF(OR(K5="ГРП при бурении",K5="ГРП без бурения"),"тип жидкости",""))</f>
        <v/>
      </c>
      <c r="L6" s="36" t="str">
        <f t="shared" si="2"/>
        <v/>
      </c>
      <c r="M6" s="36" t="str">
        <f t="shared" si="2"/>
        <v/>
      </c>
      <c r="N6" s="36" t="str">
        <f t="shared" si="2"/>
        <v/>
      </c>
      <c r="O6" s="25" t="s">
        <v>22</v>
      </c>
      <c r="P6" s="25" t="str">
        <f>IF(OR($F5=Списки!$Q$2,$F5=Списки!$Q$3,$F5=Списки!$Q$4),"Газ осушенный","Газ сепарации")</f>
        <v>Газ сепарации</v>
      </c>
      <c r="Q6" s="25" t="s">
        <v>65</v>
      </c>
      <c r="R6" s="26"/>
      <c r="S6" s="26"/>
      <c r="T6" s="26"/>
      <c r="U6" s="26"/>
      <c r="V6" s="26"/>
      <c r="W6" s="26"/>
      <c r="X6" s="26"/>
      <c r="Y6" s="26"/>
      <c r="Z6" s="26"/>
      <c r="AA6" s="26"/>
      <c r="AB6" s="26">
        <f t="shared" ref="AB6:AS6" si="3">AB5*$P$1</f>
        <v>0</v>
      </c>
      <c r="AC6" s="26">
        <f t="shared" si="3"/>
        <v>0</v>
      </c>
      <c r="AD6" s="26">
        <f t="shared" si="3"/>
        <v>0</v>
      </c>
      <c r="AE6" s="26">
        <f t="shared" si="3"/>
        <v>0</v>
      </c>
      <c r="AF6" s="26">
        <f t="shared" si="3"/>
        <v>0</v>
      </c>
      <c r="AG6" s="26">
        <f t="shared" si="3"/>
        <v>0</v>
      </c>
      <c r="AH6" s="26">
        <f t="shared" si="3"/>
        <v>0</v>
      </c>
      <c r="AI6" s="26">
        <f t="shared" si="3"/>
        <v>0</v>
      </c>
      <c r="AJ6" s="26">
        <f t="shared" si="3"/>
        <v>0</v>
      </c>
      <c r="AK6" s="26">
        <f t="shared" si="3"/>
        <v>0</v>
      </c>
      <c r="AL6" s="26">
        <f t="shared" si="3"/>
        <v>0</v>
      </c>
      <c r="AM6" s="26">
        <f t="shared" si="3"/>
        <v>0</v>
      </c>
      <c r="AN6" s="26">
        <f t="shared" si="3"/>
        <v>0</v>
      </c>
      <c r="AO6" s="26">
        <f t="shared" si="3"/>
        <v>0</v>
      </c>
      <c r="AP6" s="26">
        <f t="shared" si="3"/>
        <v>0</v>
      </c>
      <c r="AQ6" s="26">
        <f t="shared" si="3"/>
        <v>0</v>
      </c>
      <c r="AR6" s="26">
        <f t="shared" si="3"/>
        <v>0</v>
      </c>
      <c r="AS6" s="32">
        <f t="shared" si="3"/>
        <v>0</v>
      </c>
      <c r="AU6" s="11"/>
      <c r="AV6" s="10"/>
      <c r="AW6" s="10"/>
      <c r="AX6" s="10"/>
      <c r="AY6" s="10"/>
      <c r="AZ6" s="10"/>
      <c r="BA6" s="10"/>
      <c r="BB6" s="10"/>
    </row>
    <row r="7" spans="1:54" ht="31.5" x14ac:dyDescent="0.25">
      <c r="A7" s="45"/>
      <c r="B7" s="9"/>
      <c r="C7" s="85"/>
      <c r="D7" s="21" t="str">
        <f t="shared" ref="D7:I12" si="4">D6</f>
        <v>ООО "Газпром добыча Ямбург"</v>
      </c>
      <c r="E7" s="22" t="str">
        <f t="shared" si="1"/>
        <v>Ямбургское</v>
      </c>
      <c r="F7" s="22" t="str">
        <f t="shared" si="1"/>
        <v>Неоком</v>
      </c>
      <c r="G7" s="22">
        <f t="shared" si="1"/>
        <v>0</v>
      </c>
      <c r="H7" s="47">
        <f t="shared" si="1"/>
        <v>0</v>
      </c>
      <c r="I7" s="51">
        <f t="shared" si="1"/>
        <v>0</v>
      </c>
      <c r="J7" s="53"/>
      <c r="K7" s="53"/>
      <c r="L7" s="53"/>
      <c r="M7" s="53"/>
      <c r="N7" s="53"/>
      <c r="O7" s="25" t="s">
        <v>60</v>
      </c>
      <c r="P7" s="25" t="s">
        <v>29</v>
      </c>
      <c r="Q7" s="25" t="s">
        <v>61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32"/>
      <c r="AU7" s="11"/>
      <c r="AV7" s="7"/>
      <c r="AW7" s="7"/>
      <c r="AX7" s="7"/>
      <c r="AY7" s="7"/>
      <c r="AZ7" s="7"/>
      <c r="BA7" s="7"/>
      <c r="BB7" s="7"/>
    </row>
    <row r="8" spans="1:54" ht="31.5" x14ac:dyDescent="0.25">
      <c r="A8" s="45"/>
      <c r="B8" s="9"/>
      <c r="C8" s="85"/>
      <c r="D8" s="21" t="str">
        <f t="shared" si="4"/>
        <v>ООО "Газпром добыча Ямбург"</v>
      </c>
      <c r="E8" s="22" t="str">
        <f t="shared" si="1"/>
        <v>Ямбургское</v>
      </c>
      <c r="F8" s="22" t="str">
        <f t="shared" si="1"/>
        <v>Неоком</v>
      </c>
      <c r="G8" s="22">
        <f t="shared" si="1"/>
        <v>0</v>
      </c>
      <c r="H8" s="47">
        <f t="shared" si="1"/>
        <v>0</v>
      </c>
      <c r="I8" s="51">
        <f t="shared" si="1"/>
        <v>0</v>
      </c>
      <c r="J8" s="53" t="str">
        <f>IF(OR(J5="ГРП при бурении",J5="ГРП без бурения"),"количество стадий","")</f>
        <v>количество стадий</v>
      </c>
      <c r="K8" s="53" t="str">
        <f t="shared" ref="K8:N8" si="5">IF(OR(K5="ГРП при бурении",K5="ГРП без бурения"),"количество стадий","")</f>
        <v/>
      </c>
      <c r="L8" s="53" t="str">
        <f t="shared" si="5"/>
        <v/>
      </c>
      <c r="M8" s="53" t="str">
        <f t="shared" si="5"/>
        <v/>
      </c>
      <c r="N8" s="53" t="str">
        <f t="shared" si="5"/>
        <v/>
      </c>
      <c r="O8" s="25" t="s">
        <v>62</v>
      </c>
      <c r="P8" s="25" t="str">
        <f>IF(OR($E8=Списки!$B$7,$E8=Списки!$B$8,$E8=Списки!$B$9,$E8=Списки!$B$10),Списки!$B$3,Списки!$B$2)</f>
        <v>Нестабильный конденсат</v>
      </c>
      <c r="Q8" s="25" t="s">
        <v>61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32"/>
      <c r="AU8" s="7"/>
      <c r="AV8" s="7"/>
      <c r="AW8" s="7"/>
      <c r="AX8" s="7"/>
      <c r="AY8" s="7"/>
      <c r="AZ8" s="7"/>
      <c r="BA8" s="7"/>
      <c r="BB8" s="7"/>
    </row>
    <row r="9" spans="1:54" ht="15.75" x14ac:dyDescent="0.25">
      <c r="A9" s="45"/>
      <c r="B9" s="9"/>
      <c r="C9" s="85"/>
      <c r="D9" s="21" t="str">
        <f t="shared" ref="D9:I9" si="6">D8</f>
        <v>ООО "Газпром добыча Ямбург"</v>
      </c>
      <c r="E9" s="22" t="str">
        <f t="shared" si="6"/>
        <v>Ямбургское</v>
      </c>
      <c r="F9" s="22" t="str">
        <f t="shared" si="6"/>
        <v>Неоком</v>
      </c>
      <c r="G9" s="22">
        <f t="shared" si="6"/>
        <v>0</v>
      </c>
      <c r="H9" s="47">
        <f t="shared" si="6"/>
        <v>0</v>
      </c>
      <c r="I9" s="51">
        <f t="shared" si="6"/>
        <v>0</v>
      </c>
      <c r="J9" s="53"/>
      <c r="K9" s="53"/>
      <c r="L9" s="53"/>
      <c r="M9" s="53"/>
      <c r="N9" s="53"/>
      <c r="O9" s="25" t="s">
        <v>39</v>
      </c>
      <c r="P9" s="25" t="s">
        <v>39</v>
      </c>
      <c r="Q9" s="25" t="s">
        <v>61</v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32"/>
      <c r="AT9" s="7"/>
      <c r="AU9" s="7"/>
      <c r="AV9" s="7"/>
      <c r="AW9" s="7"/>
      <c r="AX9" s="7"/>
      <c r="AY9" s="7"/>
      <c r="AZ9" s="7"/>
      <c r="BA9" s="7"/>
      <c r="BB9" s="7"/>
    </row>
    <row r="10" spans="1:54" ht="18.75" x14ac:dyDescent="0.25">
      <c r="A10" s="45"/>
      <c r="B10" s="9"/>
      <c r="C10" s="85"/>
      <c r="D10" s="21" t="str">
        <f t="shared" si="4"/>
        <v>ООО "Газпром добыча Ямбург"</v>
      </c>
      <c r="E10" s="22" t="str">
        <f t="shared" si="1"/>
        <v>Ямбургское</v>
      </c>
      <c r="F10" s="22" t="str">
        <f t="shared" si="1"/>
        <v>Неоком</v>
      </c>
      <c r="G10" s="22">
        <f t="shared" si="1"/>
        <v>0</v>
      </c>
      <c r="H10" s="47">
        <f t="shared" si="1"/>
        <v>0</v>
      </c>
      <c r="I10" s="51">
        <f t="shared" si="1"/>
        <v>0</v>
      </c>
      <c r="J10" s="53" t="str">
        <f>IF(OR(J5="ГРП при бурении",J5="ГРП без бурения"),"объем пропанта","")</f>
        <v>объем пропанта</v>
      </c>
      <c r="K10" s="53" t="str">
        <f t="shared" ref="K10:N10" si="7">IF(OR(K5="ГРП при бурении",K5="ГРП без бурения"),"объем пропанта","")</f>
        <v/>
      </c>
      <c r="L10" s="53" t="str">
        <f t="shared" si="7"/>
        <v/>
      </c>
      <c r="M10" s="53" t="str">
        <f t="shared" si="7"/>
        <v/>
      </c>
      <c r="N10" s="53" t="str">
        <f t="shared" si="7"/>
        <v/>
      </c>
      <c r="O10" s="25" t="s">
        <v>42</v>
      </c>
      <c r="P10" s="25" t="s">
        <v>42</v>
      </c>
      <c r="Q10" s="25" t="s">
        <v>65</v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32"/>
      <c r="AT10" s="7"/>
      <c r="AU10" s="7"/>
      <c r="AV10" s="7"/>
      <c r="AW10" s="7"/>
      <c r="AX10" s="7"/>
      <c r="AY10" s="7"/>
      <c r="AZ10" s="7"/>
      <c r="BA10" s="7"/>
      <c r="BB10" s="7"/>
    </row>
    <row r="11" spans="1:54" ht="15.75" x14ac:dyDescent="0.25">
      <c r="A11" s="45"/>
      <c r="B11" s="9"/>
      <c r="C11" s="85"/>
      <c r="D11" s="21" t="str">
        <f t="shared" si="4"/>
        <v>ООО "Газпром добыча Ямбург"</v>
      </c>
      <c r="E11" s="22" t="str">
        <f t="shared" si="4"/>
        <v>Ямбургское</v>
      </c>
      <c r="F11" s="22" t="str">
        <f t="shared" si="4"/>
        <v>Неоком</v>
      </c>
      <c r="G11" s="22">
        <f t="shared" si="4"/>
        <v>0</v>
      </c>
      <c r="H11" s="47">
        <f t="shared" si="4"/>
        <v>0</v>
      </c>
      <c r="I11" s="51">
        <f t="shared" si="4"/>
        <v>0</v>
      </c>
      <c r="J11" s="53"/>
      <c r="K11" s="53"/>
      <c r="L11" s="53"/>
      <c r="M11" s="53"/>
      <c r="N11" s="53"/>
      <c r="O11" s="25" t="s">
        <v>66</v>
      </c>
      <c r="P11" s="25" t="s">
        <v>66</v>
      </c>
      <c r="Q11" s="25" t="s">
        <v>61</v>
      </c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32"/>
      <c r="AT11" s="7"/>
      <c r="AU11" s="7"/>
      <c r="AV11" s="7"/>
      <c r="AW11" s="7"/>
      <c r="AX11" s="7"/>
      <c r="AY11" s="7"/>
      <c r="AZ11" s="7"/>
      <c r="BA11" s="7"/>
      <c r="BB11" s="7"/>
    </row>
    <row r="12" spans="1:54" ht="16.5" thickBot="1" x14ac:dyDescent="0.3">
      <c r="A12" s="45">
        <f>A4+1</f>
        <v>1</v>
      </c>
      <c r="B12" s="9"/>
      <c r="C12" s="86"/>
      <c r="D12" s="23" t="str">
        <f t="shared" si="4"/>
        <v>ООО "Газпром добыча Ямбург"</v>
      </c>
      <c r="E12" s="24" t="str">
        <f t="shared" si="4"/>
        <v>Ямбургское</v>
      </c>
      <c r="F12" s="24" t="str">
        <f t="shared" si="4"/>
        <v>Неоком</v>
      </c>
      <c r="G12" s="24">
        <f t="shared" si="4"/>
        <v>0</v>
      </c>
      <c r="H12" s="48">
        <f t="shared" si="4"/>
        <v>0</v>
      </c>
      <c r="I12" s="52">
        <f t="shared" si="4"/>
        <v>0</v>
      </c>
      <c r="J12" s="69" t="s">
        <v>98</v>
      </c>
      <c r="K12" s="69" t="s">
        <v>98</v>
      </c>
      <c r="L12" s="69" t="s">
        <v>98</v>
      </c>
      <c r="M12" s="69" t="s">
        <v>98</v>
      </c>
      <c r="N12" s="69" t="s">
        <v>98</v>
      </c>
      <c r="O12" s="33" t="s">
        <v>67</v>
      </c>
      <c r="P12" s="33" t="s">
        <v>67</v>
      </c>
      <c r="Q12" s="33" t="s">
        <v>61</v>
      </c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5"/>
      <c r="AT12" s="7"/>
      <c r="AU12" s="7"/>
      <c r="AV12" s="7"/>
      <c r="AW12" s="7"/>
      <c r="AX12" s="7"/>
      <c r="AY12" s="7"/>
      <c r="AZ12" s="7"/>
      <c r="BA12" s="7"/>
      <c r="BB12" s="7"/>
    </row>
  </sheetData>
  <sheetProtection formatCells="0" selectLockedCells="1" selectUnlockedCells="1"/>
  <mergeCells count="1">
    <mergeCell ref="C5:C12"/>
  </mergeCells>
  <conditionalFormatting sqref="J7">
    <cfRule type="expression" dxfId="9" priority="1347">
      <formula>J6&lt;&gt;""</formula>
    </cfRule>
  </conditionalFormatting>
  <conditionalFormatting sqref="J9">
    <cfRule type="expression" dxfId="8" priority="1346">
      <formula>J8&lt;&gt;""</formula>
    </cfRule>
  </conditionalFormatting>
  <conditionalFormatting sqref="J11">
    <cfRule type="expression" dxfId="7" priority="1345">
      <formula>J10&lt;&gt;""</formula>
    </cfRule>
  </conditionalFormatting>
  <conditionalFormatting sqref="J12">
    <cfRule type="expression" dxfId="6" priority="1176">
      <formula>J5="УК КЛК"</formula>
    </cfRule>
  </conditionalFormatting>
  <conditionalFormatting sqref="J12">
    <cfRule type="expression" dxfId="5" priority="1172">
      <formula>J5="УК КЛК"</formula>
    </cfRule>
  </conditionalFormatting>
  <conditionalFormatting sqref="K7:N7">
    <cfRule type="expression" dxfId="4" priority="1155">
      <formula>K6&lt;&gt;""</formula>
    </cfRule>
  </conditionalFormatting>
  <conditionalFormatting sqref="K9:N9">
    <cfRule type="expression" dxfId="3" priority="1154">
      <formula>K8&lt;&gt;""</formula>
    </cfRule>
  </conditionalFormatting>
  <conditionalFormatting sqref="K11:N11">
    <cfRule type="expression" dxfId="2" priority="1153">
      <formula>K10&lt;&gt;""</formula>
    </cfRule>
  </conditionalFormatting>
  <conditionalFormatting sqref="K12:N12">
    <cfRule type="expression" dxfId="1" priority="1152">
      <formula>K5="УК КЛК"</formula>
    </cfRule>
  </conditionalFormatting>
  <conditionalFormatting sqref="K12:N12">
    <cfRule type="expression" dxfId="0" priority="1151">
      <formula>K5="УК КЛК"</formula>
    </cfRule>
  </conditionalFormatting>
  <dataValidations count="1">
    <dataValidation allowBlank="1" showErrorMessage="1" sqref="P5:P12"/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ults">
                <anchor moveWithCells="1" sizeWithCells="1">
                  <from>
                    <xdr:col>2</xdr:col>
                    <xdr:colOff>285750</xdr:colOff>
                    <xdr:row>0</xdr:row>
                    <xdr:rowOff>0</xdr:rowOff>
                  </from>
                  <to>
                    <xdr:col>3</xdr:col>
                    <xdr:colOff>2228850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Списки!$G$1:$O$1</xm:f>
          </x14:formula1>
          <xm:sqref>D5</xm:sqref>
        </x14:dataValidation>
        <x14:dataValidation type="list" allowBlank="1" showErrorMessage="1">
          <x14:formula1>
            <xm:f>INDIRECT(CONCATENATE("Списки!",MID(ADDRESS(1,MATCH($D5,Списки!$1:$1,0),4,1,),1,1),"2:",MID(ADDRESS(1,MATCH($D5,Списки!$1:$1,0),4,1,),1,1),$B5))</xm:f>
          </x14:formula1>
          <xm:sqref>E5</xm:sqref>
        </x14:dataValidation>
        <x14:dataValidation type="list" allowBlank="1" showErrorMessage="1">
          <x14:formula1>
            <xm:f>Списки!$Q$2:$Q$9</xm:f>
          </x14:formula1>
          <xm:sqref>F5</xm:sqref>
        </x14:dataValidation>
        <x14:dataValidation type="list" allowBlank="1" showErrorMessage="1">
          <x14:formula1>
            <xm:f>Списки!$E$2:$E$16</xm:f>
          </x14:formula1>
          <xm:sqref>J5:N5</xm:sqref>
        </x14:dataValidation>
        <x14:dataValidation type="list" allowBlank="1" showInputMessage="1" showErrorMessage="1">
          <x14:formula1>
            <xm:f>Списки!$B$13:$B$14</xm:f>
          </x14:formula1>
          <xm:sqref>J12:N12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D15"/>
  <sheetViews>
    <sheetView workbookViewId="0">
      <selection activeCell="J7" sqref="J7"/>
    </sheetView>
  </sheetViews>
  <sheetFormatPr defaultColWidth="8.85546875" defaultRowHeight="15.75" x14ac:dyDescent="0.25"/>
  <cols>
    <col min="1" max="1" width="8.85546875" style="11"/>
    <col min="2" max="2" width="5" style="8" customWidth="1"/>
    <col min="3" max="3" width="70.85546875" style="54" customWidth="1"/>
    <col min="4" max="4" width="13.85546875" style="12" customWidth="1"/>
    <col min="5" max="16384" width="8.85546875" style="11"/>
  </cols>
  <sheetData>
    <row r="2" spans="2:3" x14ac:dyDescent="0.25">
      <c r="B2" s="55" t="s">
        <v>79</v>
      </c>
    </row>
    <row r="3" spans="2:3" x14ac:dyDescent="0.25">
      <c r="B3" s="55" t="s">
        <v>80</v>
      </c>
    </row>
    <row r="4" spans="2:3" ht="16.5" thickBot="1" x14ac:dyDescent="0.3"/>
    <row r="5" spans="2:3" x14ac:dyDescent="0.25">
      <c r="B5" s="56">
        <v>1</v>
      </c>
      <c r="C5" s="57" t="s">
        <v>84</v>
      </c>
    </row>
    <row r="6" spans="2:3" ht="31.5" x14ac:dyDescent="0.25">
      <c r="B6" s="64">
        <f>B5+1</f>
        <v>2</v>
      </c>
      <c r="C6" s="65" t="s">
        <v>92</v>
      </c>
    </row>
    <row r="7" spans="2:3" ht="31.5" x14ac:dyDescent="0.25">
      <c r="B7" s="58">
        <f t="shared" ref="B7:B12" si="0">B6+1</f>
        <v>3</v>
      </c>
      <c r="C7" s="59" t="s">
        <v>85</v>
      </c>
    </row>
    <row r="8" spans="2:3" ht="31.5" x14ac:dyDescent="0.25">
      <c r="B8" s="64">
        <f t="shared" si="0"/>
        <v>4</v>
      </c>
      <c r="C8" s="65" t="s">
        <v>81</v>
      </c>
    </row>
    <row r="9" spans="2:3" ht="31.5" x14ac:dyDescent="0.25">
      <c r="B9" s="58">
        <f t="shared" si="0"/>
        <v>5</v>
      </c>
      <c r="C9" s="59" t="s">
        <v>82</v>
      </c>
    </row>
    <row r="10" spans="2:3" ht="31.5" x14ac:dyDescent="0.25">
      <c r="B10" s="64">
        <f t="shared" si="0"/>
        <v>6</v>
      </c>
      <c r="C10" s="65" t="s">
        <v>87</v>
      </c>
    </row>
    <row r="11" spans="2:3" ht="63" x14ac:dyDescent="0.25">
      <c r="B11" s="58">
        <f t="shared" si="0"/>
        <v>7</v>
      </c>
      <c r="C11" s="60" t="s">
        <v>86</v>
      </c>
    </row>
    <row r="12" spans="2:3" ht="31.5" x14ac:dyDescent="0.25">
      <c r="B12" s="64">
        <f t="shared" si="0"/>
        <v>8</v>
      </c>
      <c r="C12" s="61" t="s">
        <v>89</v>
      </c>
    </row>
    <row r="13" spans="2:3" ht="47.25" x14ac:dyDescent="0.25">
      <c r="B13" s="66" t="s">
        <v>88</v>
      </c>
      <c r="C13" s="60" t="s">
        <v>90</v>
      </c>
    </row>
    <row r="14" spans="2:3" ht="47.25" x14ac:dyDescent="0.25">
      <c r="B14" s="67">
        <f>B12+1</f>
        <v>9</v>
      </c>
      <c r="C14" s="68" t="s">
        <v>91</v>
      </c>
    </row>
    <row r="15" spans="2:3" ht="32.25" thickBot="1" x14ac:dyDescent="0.3">
      <c r="B15" s="62">
        <f>B14+1</f>
        <v>10</v>
      </c>
      <c r="C15" s="63" t="s">
        <v>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1000"/>
  <sheetViews>
    <sheetView workbookViewId="0">
      <selection activeCell="B15" sqref="B15"/>
    </sheetView>
  </sheetViews>
  <sheetFormatPr defaultColWidth="14.42578125" defaultRowHeight="15" customHeight="1" x14ac:dyDescent="0.25"/>
  <cols>
    <col min="1" max="1" width="9.140625" customWidth="1"/>
    <col min="2" max="2" width="26" customWidth="1"/>
    <col min="3" max="3" width="3.85546875" customWidth="1"/>
    <col min="4" max="4" width="27.140625" customWidth="1"/>
    <col min="5" max="5" width="29.7109375" customWidth="1"/>
    <col min="6" max="6" width="4.28515625" customWidth="1"/>
    <col min="7" max="11" width="22.42578125" customWidth="1"/>
    <col min="12" max="12" width="23.5703125" customWidth="1"/>
    <col min="13" max="15" width="22.42578125" customWidth="1"/>
    <col min="16" max="16" width="5" customWidth="1"/>
    <col min="17" max="17" width="21.140625" customWidth="1"/>
    <col min="18" max="23" width="8.7109375" customWidth="1"/>
  </cols>
  <sheetData>
    <row r="1" spans="1:23" ht="42.75" x14ac:dyDescent="0.25">
      <c r="A1" s="1"/>
      <c r="B1" s="13" t="s">
        <v>62</v>
      </c>
      <c r="C1" s="1"/>
      <c r="D1" s="13" t="s">
        <v>1</v>
      </c>
      <c r="E1" s="13" t="s">
        <v>2</v>
      </c>
      <c r="F1" s="1"/>
      <c r="G1" s="19" t="s">
        <v>3</v>
      </c>
      <c r="H1" s="19" t="s">
        <v>4</v>
      </c>
      <c r="I1" s="19" t="s">
        <v>5</v>
      </c>
      <c r="J1" s="19" t="s">
        <v>6</v>
      </c>
      <c r="K1" s="19" t="s">
        <v>7</v>
      </c>
      <c r="L1" s="19" t="s">
        <v>8</v>
      </c>
      <c r="M1" s="19" t="s">
        <v>9</v>
      </c>
      <c r="N1" s="19" t="s">
        <v>10</v>
      </c>
      <c r="O1" s="19" t="s">
        <v>11</v>
      </c>
      <c r="P1" s="2"/>
      <c r="Q1" s="19" t="s">
        <v>12</v>
      </c>
      <c r="R1" s="2"/>
      <c r="S1" s="2"/>
      <c r="T1" s="2"/>
      <c r="U1" s="2"/>
      <c r="V1" s="2"/>
      <c r="W1" s="2"/>
    </row>
    <row r="2" spans="1:23" x14ac:dyDescent="0.25">
      <c r="A2" s="1"/>
      <c r="B2" s="3" t="s">
        <v>29</v>
      </c>
      <c r="C2" s="1"/>
      <c r="D2" s="3" t="s">
        <v>13</v>
      </c>
      <c r="E2" s="5" t="s">
        <v>14</v>
      </c>
      <c r="F2" s="1"/>
      <c r="G2" s="4" t="s">
        <v>15</v>
      </c>
      <c r="H2" s="4" t="s">
        <v>16</v>
      </c>
      <c r="I2" s="4" t="s">
        <v>17</v>
      </c>
      <c r="J2" s="6" t="s">
        <v>15</v>
      </c>
      <c r="K2" s="4" t="s">
        <v>18</v>
      </c>
      <c r="L2" s="4" t="s">
        <v>19</v>
      </c>
      <c r="M2" s="4" t="s">
        <v>15</v>
      </c>
      <c r="N2" s="6" t="s">
        <v>20</v>
      </c>
      <c r="O2" s="4" t="s">
        <v>15</v>
      </c>
      <c r="P2" s="2"/>
      <c r="Q2" s="4" t="s">
        <v>21</v>
      </c>
      <c r="R2" s="2"/>
      <c r="S2" s="2"/>
      <c r="T2" s="2"/>
      <c r="U2" s="2"/>
      <c r="V2" s="2"/>
      <c r="W2" s="2"/>
    </row>
    <row r="3" spans="1:23" x14ac:dyDescent="0.25">
      <c r="A3" s="1"/>
      <c r="B3" s="3" t="s">
        <v>35</v>
      </c>
      <c r="C3" s="1"/>
      <c r="D3" s="3" t="s">
        <v>13</v>
      </c>
      <c r="E3" s="5" t="s">
        <v>23</v>
      </c>
      <c r="F3" s="1"/>
      <c r="G3" s="2"/>
      <c r="H3" s="2"/>
      <c r="I3" s="2"/>
      <c r="J3" s="2"/>
      <c r="K3" s="4" t="s">
        <v>24</v>
      </c>
      <c r="L3" s="4" t="s">
        <v>25</v>
      </c>
      <c r="M3" s="4" t="s">
        <v>26</v>
      </c>
      <c r="N3" s="6" t="s">
        <v>27</v>
      </c>
      <c r="O3" s="4" t="s">
        <v>26</v>
      </c>
      <c r="P3" s="2"/>
      <c r="Q3" s="4" t="s">
        <v>28</v>
      </c>
      <c r="R3" s="2"/>
      <c r="S3" s="2"/>
      <c r="T3" s="2"/>
      <c r="U3" s="2"/>
      <c r="V3" s="2"/>
      <c r="W3" s="2"/>
    </row>
    <row r="4" spans="1:23" x14ac:dyDescent="0.25">
      <c r="A4" s="1"/>
      <c r="B4" s="1"/>
      <c r="C4" s="1"/>
      <c r="D4" s="3" t="s">
        <v>13</v>
      </c>
      <c r="E4" s="5" t="s">
        <v>30</v>
      </c>
      <c r="F4" s="1"/>
      <c r="G4" s="2"/>
      <c r="H4" s="2"/>
      <c r="I4" s="2"/>
      <c r="J4" s="2"/>
      <c r="K4" s="4" t="s">
        <v>31</v>
      </c>
      <c r="L4" s="4" t="s">
        <v>32</v>
      </c>
      <c r="M4" s="2"/>
      <c r="N4" s="2"/>
      <c r="O4" s="4" t="s">
        <v>33</v>
      </c>
      <c r="P4" s="2"/>
      <c r="Q4" s="4" t="s">
        <v>73</v>
      </c>
      <c r="R4" s="2"/>
      <c r="S4" s="2"/>
      <c r="T4" s="2"/>
      <c r="U4" s="2"/>
      <c r="V4" s="2"/>
      <c r="W4" s="2"/>
    </row>
    <row r="5" spans="1:23" x14ac:dyDescent="0.25">
      <c r="A5" s="1"/>
      <c r="B5" s="1"/>
      <c r="C5" s="1"/>
      <c r="D5" s="3" t="s">
        <v>13</v>
      </c>
      <c r="E5" s="5" t="s">
        <v>83</v>
      </c>
      <c r="F5" s="1"/>
      <c r="G5" s="2"/>
      <c r="H5" s="2"/>
      <c r="I5" s="2"/>
      <c r="J5" s="2"/>
      <c r="K5" s="4" t="s">
        <v>33</v>
      </c>
      <c r="L5" s="4" t="s">
        <v>36</v>
      </c>
      <c r="M5" s="2"/>
      <c r="N5" s="2"/>
      <c r="O5" s="4" t="s">
        <v>37</v>
      </c>
      <c r="P5" s="2"/>
      <c r="Q5" s="4" t="s">
        <v>34</v>
      </c>
      <c r="R5" s="2"/>
      <c r="S5" s="2"/>
      <c r="T5" s="2"/>
      <c r="U5" s="2"/>
      <c r="V5" s="2"/>
      <c r="W5" s="2"/>
    </row>
    <row r="6" spans="1:23" ht="42.75" x14ac:dyDescent="0.25">
      <c r="A6" s="1"/>
      <c r="B6" s="19" t="s">
        <v>64</v>
      </c>
      <c r="C6" s="1"/>
      <c r="D6" s="3" t="s">
        <v>13</v>
      </c>
      <c r="E6" s="5" t="s">
        <v>40</v>
      </c>
      <c r="F6" s="1"/>
      <c r="G6" s="2"/>
      <c r="H6" s="2"/>
      <c r="I6" s="2"/>
      <c r="J6" s="2"/>
      <c r="K6" s="4" t="s">
        <v>37</v>
      </c>
      <c r="L6" s="4" t="s">
        <v>41</v>
      </c>
      <c r="M6" s="2"/>
      <c r="N6" s="2"/>
      <c r="O6" s="2"/>
      <c r="P6" s="2"/>
      <c r="Q6" s="4" t="s">
        <v>78</v>
      </c>
      <c r="R6" s="2"/>
      <c r="S6" s="2"/>
      <c r="T6" s="2"/>
      <c r="U6" s="2"/>
      <c r="V6" s="2"/>
      <c r="W6" s="2"/>
    </row>
    <row r="7" spans="1:23" x14ac:dyDescent="0.25">
      <c r="A7" s="1"/>
      <c r="B7" s="3" t="s">
        <v>18</v>
      </c>
      <c r="C7" s="1"/>
      <c r="D7" s="3" t="s">
        <v>13</v>
      </c>
      <c r="E7" s="5" t="s">
        <v>94</v>
      </c>
      <c r="F7" s="1"/>
      <c r="G7" s="2"/>
      <c r="H7" s="2"/>
      <c r="I7" s="2"/>
      <c r="J7" s="2"/>
      <c r="K7" s="2"/>
      <c r="L7" s="2"/>
      <c r="M7" s="2"/>
      <c r="N7" s="2"/>
      <c r="O7" s="2"/>
      <c r="P7" s="2"/>
      <c r="Q7" s="4" t="s">
        <v>38</v>
      </c>
      <c r="R7" s="2"/>
      <c r="S7" s="2"/>
      <c r="T7" s="2"/>
      <c r="U7" s="2"/>
      <c r="V7" s="2"/>
      <c r="W7" s="2"/>
    </row>
    <row r="8" spans="1:23" x14ac:dyDescent="0.25">
      <c r="A8" s="1"/>
      <c r="B8" s="3" t="s">
        <v>24</v>
      </c>
      <c r="C8" s="1"/>
      <c r="D8" s="3" t="s">
        <v>13</v>
      </c>
      <c r="E8" s="5" t="s">
        <v>76</v>
      </c>
      <c r="F8" s="1"/>
      <c r="G8" s="2"/>
      <c r="H8" s="2"/>
      <c r="I8" s="2"/>
      <c r="J8" s="2"/>
      <c r="K8" s="2"/>
      <c r="L8" s="2"/>
      <c r="M8" s="2"/>
      <c r="N8" s="2"/>
      <c r="O8" s="2"/>
      <c r="P8" s="2"/>
      <c r="Q8" s="4" t="s">
        <v>74</v>
      </c>
      <c r="R8" s="2"/>
      <c r="S8" s="2"/>
      <c r="T8" s="2"/>
      <c r="U8" s="2"/>
      <c r="V8" s="2"/>
      <c r="W8" s="2"/>
    </row>
    <row r="9" spans="1:23" x14ac:dyDescent="0.25">
      <c r="A9" s="1"/>
      <c r="B9" s="3" t="s">
        <v>33</v>
      </c>
      <c r="C9" s="1"/>
      <c r="D9" s="3" t="s">
        <v>43</v>
      </c>
      <c r="E9" s="5" t="s">
        <v>44</v>
      </c>
      <c r="F9" s="1"/>
      <c r="G9" s="2"/>
      <c r="H9" s="2"/>
      <c r="I9" s="2"/>
      <c r="J9" s="2"/>
      <c r="K9" s="2"/>
      <c r="L9" s="2"/>
      <c r="M9" s="2"/>
      <c r="N9" s="2"/>
      <c r="O9" s="2"/>
      <c r="P9" s="2"/>
      <c r="Q9" s="4" t="s">
        <v>39</v>
      </c>
      <c r="R9" s="2"/>
      <c r="S9" s="2"/>
      <c r="T9" s="2"/>
      <c r="U9" s="2"/>
      <c r="V9" s="2"/>
      <c r="W9" s="2"/>
    </row>
    <row r="10" spans="1:23" x14ac:dyDescent="0.25">
      <c r="A10" s="1"/>
      <c r="B10" s="3" t="s">
        <v>37</v>
      </c>
      <c r="C10" s="1"/>
      <c r="D10" s="3" t="s">
        <v>43</v>
      </c>
      <c r="E10" s="5" t="s">
        <v>45</v>
      </c>
      <c r="F10" s="1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1"/>
      <c r="B11" s="1"/>
      <c r="C11" s="1"/>
      <c r="D11" s="3" t="s">
        <v>43</v>
      </c>
      <c r="E11" s="5" t="s">
        <v>46</v>
      </c>
      <c r="F11" s="1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ht="30" x14ac:dyDescent="0.25">
      <c r="A12" s="1"/>
      <c r="B12" s="19" t="s">
        <v>95</v>
      </c>
      <c r="C12" s="1"/>
      <c r="D12" s="3" t="s">
        <v>43</v>
      </c>
      <c r="E12" s="5" t="s">
        <v>47</v>
      </c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1"/>
      <c r="B13" s="3" t="s">
        <v>96</v>
      </c>
      <c r="C13" s="1"/>
      <c r="D13" s="3" t="s">
        <v>43</v>
      </c>
      <c r="E13" s="5" t="s">
        <v>75</v>
      </c>
      <c r="F13" s="1"/>
      <c r="G13" s="2"/>
      <c r="H13" s="2"/>
      <c r="I13" s="2"/>
      <c r="J13" s="2"/>
      <c r="K13" s="2"/>
      <c r="L13" s="2"/>
      <c r="M13" s="2"/>
      <c r="N13" s="2"/>
      <c r="O13" s="2"/>
      <c r="P13" s="2"/>
      <c r="R13" s="2"/>
      <c r="S13" s="2"/>
      <c r="T13" s="2"/>
      <c r="U13" s="2"/>
      <c r="V13" s="2"/>
      <c r="W13" s="2"/>
    </row>
    <row r="14" spans="1:23" x14ac:dyDescent="0.25">
      <c r="A14" s="1"/>
      <c r="B14" s="3" t="s">
        <v>97</v>
      </c>
      <c r="C14" s="1"/>
      <c r="D14" s="3" t="s">
        <v>48</v>
      </c>
      <c r="E14" s="5" t="s">
        <v>49</v>
      </c>
      <c r="F14" s="1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x14ac:dyDescent="0.25">
      <c r="A15" s="1"/>
      <c r="B15" s="1"/>
      <c r="C15" s="1"/>
      <c r="D15" s="3" t="s">
        <v>48</v>
      </c>
      <c r="E15" s="5" t="s">
        <v>50</v>
      </c>
      <c r="F15" s="1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1"/>
      <c r="B16" s="1"/>
      <c r="C16" s="1"/>
      <c r="D16" s="3" t="s">
        <v>48</v>
      </c>
      <c r="E16" s="5" t="s">
        <v>51</v>
      </c>
      <c r="F16" s="1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1"/>
      <c r="B17" s="1"/>
      <c r="C17" s="1"/>
      <c r="D17" s="1"/>
      <c r="E17" s="1"/>
      <c r="F17" s="1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25">
      <c r="A18" s="1"/>
      <c r="B18" s="1"/>
      <c r="C18" s="1"/>
      <c r="D18" s="1"/>
      <c r="E18" s="1"/>
      <c r="F18" s="1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25">
      <c r="A19" s="1"/>
      <c r="B19" s="1"/>
      <c r="C19" s="1"/>
      <c r="D19" s="1"/>
      <c r="E19" s="1"/>
      <c r="F19" s="1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1"/>
      <c r="B20" s="1"/>
      <c r="C20" s="1"/>
      <c r="D20" s="1"/>
      <c r="E20" s="1"/>
      <c r="F20" s="1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ht="15.75" customHeight="1" x14ac:dyDescent="0.25">
      <c r="A21" s="1"/>
      <c r="B21" s="1"/>
      <c r="C21" s="1"/>
      <c r="D21" s="1"/>
      <c r="E21" s="1"/>
      <c r="F21" s="1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ht="15.75" customHeight="1" x14ac:dyDescent="0.25">
      <c r="A22" s="1"/>
      <c r="B22" s="1"/>
      <c r="C22" s="1"/>
      <c r="D22" s="1"/>
      <c r="E22" s="1"/>
      <c r="F22" s="1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ht="15.75" customHeight="1" x14ac:dyDescent="0.25">
      <c r="A23" s="1"/>
      <c r="B23" s="1"/>
      <c r="C23" s="1"/>
      <c r="D23" s="1"/>
      <c r="E23" s="1"/>
      <c r="F23" s="1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ht="15.75" customHeight="1" x14ac:dyDescent="0.25">
      <c r="A24" s="1"/>
      <c r="B24" s="1"/>
      <c r="C24" s="1"/>
      <c r="D24" s="1"/>
      <c r="E24" s="1"/>
      <c r="F24" s="1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customHeight="1" x14ac:dyDescent="0.25">
      <c r="A25" s="1"/>
      <c r="B25" s="1"/>
      <c r="C25" s="1"/>
      <c r="D25" s="1"/>
      <c r="E25" s="1"/>
      <c r="F25" s="1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ht="15.75" customHeight="1" x14ac:dyDescent="0.25">
      <c r="A26" s="1"/>
      <c r="B26" s="1"/>
      <c r="C26" s="1"/>
      <c r="D26" s="1"/>
      <c r="E26" s="1"/>
      <c r="F26" s="1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ht="15.75" customHeight="1" x14ac:dyDescent="0.25">
      <c r="A27" s="1"/>
      <c r="B27" s="1"/>
      <c r="C27" s="1"/>
      <c r="D27" s="1"/>
      <c r="E27" s="1"/>
      <c r="F27" s="1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ht="15.75" customHeight="1" x14ac:dyDescent="0.25">
      <c r="A28" s="1"/>
      <c r="B28" s="1"/>
      <c r="C28" s="1"/>
      <c r="D28" s="1"/>
      <c r="E28" s="1"/>
      <c r="F28" s="1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ht="15.75" customHeight="1" x14ac:dyDescent="0.25">
      <c r="A29" s="1"/>
      <c r="B29" s="1"/>
      <c r="C29" s="1"/>
      <c r="D29" s="1"/>
      <c r="E29" s="1"/>
      <c r="F29" s="1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ht="15.75" customHeight="1" x14ac:dyDescent="0.25">
      <c r="A30" s="1"/>
      <c r="B30" s="1"/>
      <c r="C30" s="1"/>
      <c r="D30" s="1"/>
      <c r="E30" s="1"/>
      <c r="F30" s="1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ht="15.75" customHeight="1" x14ac:dyDescent="0.25">
      <c r="A31" s="1"/>
      <c r="B31" s="1"/>
      <c r="C31" s="1"/>
      <c r="D31" s="1"/>
      <c r="E31" s="1"/>
      <c r="F31" s="1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ht="15.75" customHeight="1" x14ac:dyDescent="0.25">
      <c r="A32" s="1"/>
      <c r="B32" s="1"/>
      <c r="C32" s="1"/>
      <c r="D32" s="1"/>
      <c r="E32" s="1"/>
      <c r="F32" s="1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ht="15.75" customHeight="1" x14ac:dyDescent="0.25">
      <c r="A33" s="1"/>
      <c r="B33" s="1"/>
      <c r="C33" s="1"/>
      <c r="D33" s="1"/>
      <c r="E33" s="1"/>
      <c r="F33" s="1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ht="15.75" customHeight="1" x14ac:dyDescent="0.25">
      <c r="A34" s="1"/>
      <c r="B34" s="1"/>
      <c r="C34" s="1"/>
      <c r="D34" s="1"/>
      <c r="E34" s="1"/>
      <c r="F34" s="1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ht="15.75" customHeight="1" x14ac:dyDescent="0.25">
      <c r="A35" s="1"/>
      <c r="B35" s="1"/>
      <c r="C35" s="1"/>
      <c r="D35" s="1"/>
      <c r="E35" s="1"/>
      <c r="F35" s="1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ht="15.75" customHeight="1" x14ac:dyDescent="0.25">
      <c r="A36" s="1"/>
      <c r="B36" s="1"/>
      <c r="C36" s="1"/>
      <c r="D36" s="1"/>
      <c r="E36" s="1"/>
      <c r="F36" s="1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ht="15.75" customHeight="1" x14ac:dyDescent="0.25">
      <c r="A37" s="1"/>
      <c r="B37" s="1"/>
      <c r="C37" s="1"/>
      <c r="D37" s="1"/>
      <c r="E37" s="1"/>
      <c r="F37" s="1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ht="15.75" customHeight="1" x14ac:dyDescent="0.25">
      <c r="A38" s="1"/>
      <c r="B38" s="1"/>
      <c r="C38" s="1"/>
      <c r="D38" s="1"/>
      <c r="E38" s="1"/>
      <c r="F38" s="1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ht="15.75" customHeight="1" x14ac:dyDescent="0.25">
      <c r="A39" s="1"/>
      <c r="B39" s="1"/>
      <c r="C39" s="1"/>
      <c r="D39" s="1"/>
      <c r="E39" s="1"/>
      <c r="F39" s="1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ht="15.75" customHeight="1" x14ac:dyDescent="0.25">
      <c r="A40" s="1"/>
      <c r="B40" s="1"/>
      <c r="C40" s="1"/>
      <c r="D40" s="1"/>
      <c r="E40" s="1"/>
      <c r="F40" s="1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ht="15.75" customHeight="1" x14ac:dyDescent="0.25">
      <c r="A41" s="1"/>
      <c r="B41" s="1"/>
      <c r="C41" s="1"/>
      <c r="D41" s="1"/>
      <c r="E41" s="1"/>
      <c r="F41" s="1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ht="15.75" customHeight="1" x14ac:dyDescent="0.25">
      <c r="A42" s="1"/>
      <c r="B42" s="1"/>
      <c r="C42" s="1"/>
      <c r="D42" s="1"/>
      <c r="E42" s="1"/>
      <c r="F42" s="1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5.75" customHeight="1" x14ac:dyDescent="0.25">
      <c r="A43" s="1"/>
      <c r="B43" s="1"/>
      <c r="C43" s="1"/>
      <c r="D43" s="1"/>
      <c r="E43" s="1"/>
      <c r="F43" s="1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ht="15.75" customHeight="1" x14ac:dyDescent="0.25">
      <c r="A44" s="1"/>
      <c r="B44" s="1"/>
      <c r="C44" s="1"/>
      <c r="D44" s="1"/>
      <c r="E44" s="1"/>
      <c r="F44" s="1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ht="15.75" customHeight="1" x14ac:dyDescent="0.25">
      <c r="A45" s="1"/>
      <c r="B45" s="1"/>
      <c r="C45" s="1"/>
      <c r="D45" s="1"/>
      <c r="E45" s="1"/>
      <c r="F45" s="1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ht="15.75" customHeight="1" x14ac:dyDescent="0.25">
      <c r="A46" s="1"/>
      <c r="B46" s="1"/>
      <c r="C46" s="1"/>
      <c r="D46" s="1"/>
      <c r="E46" s="1"/>
      <c r="F46" s="1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ht="15.75" customHeight="1" x14ac:dyDescent="0.25">
      <c r="A47" s="1"/>
      <c r="B47" s="1"/>
      <c r="C47" s="1"/>
      <c r="D47" s="1"/>
      <c r="E47" s="1"/>
      <c r="F47" s="1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ht="15.75" customHeight="1" x14ac:dyDescent="0.25">
      <c r="A48" s="1"/>
      <c r="B48" s="1"/>
      <c r="C48" s="1"/>
      <c r="D48" s="1"/>
      <c r="E48" s="1"/>
      <c r="F48" s="1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ht="15.75" customHeight="1" x14ac:dyDescent="0.25">
      <c r="A49" s="1"/>
      <c r="B49" s="1"/>
      <c r="C49" s="1"/>
      <c r="D49" s="1"/>
      <c r="E49" s="1"/>
      <c r="F49" s="1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ht="15.75" customHeight="1" x14ac:dyDescent="0.25">
      <c r="A50" s="1"/>
      <c r="B50" s="1"/>
      <c r="C50" s="1"/>
      <c r="D50" s="1"/>
      <c r="E50" s="1"/>
      <c r="F50" s="1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ht="15.75" customHeight="1" x14ac:dyDescent="0.25">
      <c r="A51" s="1"/>
      <c r="B51" s="1"/>
      <c r="C51" s="1"/>
      <c r="D51" s="1"/>
      <c r="E51" s="1"/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ht="15.75" customHeight="1" x14ac:dyDescent="0.25">
      <c r="A52" s="1"/>
      <c r="B52" s="1"/>
      <c r="C52" s="1"/>
      <c r="D52" s="1"/>
      <c r="E52" s="1"/>
      <c r="F52" s="1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ht="15.75" customHeight="1" x14ac:dyDescent="0.25">
      <c r="A53" s="1"/>
      <c r="B53" s="1"/>
      <c r="C53" s="1"/>
      <c r="D53" s="1"/>
      <c r="E53" s="1"/>
      <c r="F53" s="1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ht="15.75" customHeight="1" x14ac:dyDescent="0.25">
      <c r="A54" s="1"/>
      <c r="B54" s="1"/>
      <c r="C54" s="1"/>
      <c r="D54" s="1"/>
      <c r="E54" s="1"/>
      <c r="F54" s="1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ht="15.75" customHeight="1" x14ac:dyDescent="0.25">
      <c r="A55" s="1"/>
      <c r="B55" s="1"/>
      <c r="C55" s="1"/>
      <c r="D55" s="1"/>
      <c r="E55" s="1"/>
      <c r="F55" s="1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ht="15.75" customHeight="1" x14ac:dyDescent="0.25">
      <c r="A56" s="1"/>
      <c r="B56" s="1"/>
      <c r="C56" s="1"/>
      <c r="D56" s="1"/>
      <c r="E56" s="1"/>
      <c r="F56" s="1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ht="15.75" customHeight="1" x14ac:dyDescent="0.25">
      <c r="A57" s="1"/>
      <c r="B57" s="1"/>
      <c r="C57" s="1"/>
      <c r="D57" s="1"/>
      <c r="E57" s="1"/>
      <c r="F57" s="1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ht="15.75" customHeight="1" x14ac:dyDescent="0.25">
      <c r="A58" s="1"/>
      <c r="B58" s="1"/>
      <c r="C58" s="1"/>
      <c r="D58" s="1"/>
      <c r="E58" s="1"/>
      <c r="F58" s="1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ht="15.75" customHeight="1" x14ac:dyDescent="0.25">
      <c r="A59" s="1"/>
      <c r="B59" s="1"/>
      <c r="C59" s="1"/>
      <c r="D59" s="1"/>
      <c r="E59" s="1"/>
      <c r="F59" s="1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ht="15.75" customHeight="1" x14ac:dyDescent="0.25">
      <c r="A60" s="1"/>
      <c r="B60" s="1"/>
      <c r="C60" s="1"/>
      <c r="D60" s="1"/>
      <c r="E60" s="1"/>
      <c r="F60" s="1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ht="15.75" customHeight="1" x14ac:dyDescent="0.25">
      <c r="A61" s="1"/>
      <c r="B61" s="1"/>
      <c r="C61" s="1"/>
      <c r="D61" s="1"/>
      <c r="E61" s="1"/>
      <c r="F61" s="1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ht="15.75" customHeight="1" x14ac:dyDescent="0.25">
      <c r="A62" s="1"/>
      <c r="B62" s="1"/>
      <c r="C62" s="1"/>
      <c r="D62" s="1"/>
      <c r="E62" s="1"/>
      <c r="F62" s="1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ht="15.75" customHeight="1" x14ac:dyDescent="0.25">
      <c r="A63" s="1"/>
      <c r="B63" s="1"/>
      <c r="C63" s="1"/>
      <c r="D63" s="1"/>
      <c r="E63" s="1"/>
      <c r="F63" s="1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ht="15.75" customHeight="1" x14ac:dyDescent="0.25">
      <c r="A64" s="1"/>
      <c r="B64" s="1"/>
      <c r="C64" s="1"/>
      <c r="D64" s="1"/>
      <c r="E64" s="1"/>
      <c r="F64" s="1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ht="15.75" customHeight="1" x14ac:dyDescent="0.25">
      <c r="A65" s="1"/>
      <c r="B65" s="1"/>
      <c r="C65" s="1"/>
      <c r="D65" s="1"/>
      <c r="E65" s="1"/>
      <c r="F65" s="1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ht="15.75" customHeight="1" x14ac:dyDescent="0.25">
      <c r="A66" s="1"/>
      <c r="B66" s="1"/>
      <c r="C66" s="1"/>
      <c r="D66" s="1"/>
      <c r="E66" s="1"/>
      <c r="F66" s="1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ht="15.75" customHeight="1" x14ac:dyDescent="0.25">
      <c r="A67" s="1"/>
      <c r="B67" s="1"/>
      <c r="C67" s="1"/>
      <c r="D67" s="1"/>
      <c r="E67" s="1"/>
      <c r="F67" s="1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ht="15.75" customHeight="1" x14ac:dyDescent="0.25">
      <c r="A68" s="1"/>
      <c r="B68" s="1"/>
      <c r="C68" s="1"/>
      <c r="D68" s="1"/>
      <c r="E68" s="1"/>
      <c r="F68" s="1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ht="15.75" customHeight="1" x14ac:dyDescent="0.25">
      <c r="A69" s="1"/>
      <c r="B69" s="1"/>
      <c r="C69" s="1"/>
      <c r="D69" s="1"/>
      <c r="E69" s="1"/>
      <c r="F69" s="1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ht="15.75" customHeight="1" x14ac:dyDescent="0.25">
      <c r="A70" s="1"/>
      <c r="B70" s="1"/>
      <c r="C70" s="1"/>
      <c r="D70" s="1"/>
      <c r="E70" s="1"/>
      <c r="F70" s="1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ht="15.75" customHeight="1" x14ac:dyDescent="0.25">
      <c r="A71" s="1"/>
      <c r="B71" s="1"/>
      <c r="C71" s="1"/>
      <c r="D71" s="1"/>
      <c r="E71" s="1"/>
      <c r="F71" s="1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ht="15.75" customHeight="1" x14ac:dyDescent="0.25">
      <c r="A72" s="1"/>
      <c r="B72" s="1"/>
      <c r="C72" s="1"/>
      <c r="D72" s="1"/>
      <c r="E72" s="1"/>
      <c r="F72" s="1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ht="15.75" customHeight="1" x14ac:dyDescent="0.25">
      <c r="A73" s="1"/>
      <c r="B73" s="1"/>
      <c r="C73" s="1"/>
      <c r="D73" s="1"/>
      <c r="E73" s="1"/>
      <c r="F73" s="1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ht="15.75" customHeight="1" x14ac:dyDescent="0.25">
      <c r="A74" s="1"/>
      <c r="B74" s="1"/>
      <c r="C74" s="1"/>
      <c r="D74" s="1"/>
      <c r="E74" s="1"/>
      <c r="F74" s="1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ht="15.75" customHeight="1" x14ac:dyDescent="0.25">
      <c r="A75" s="1"/>
      <c r="B75" s="1"/>
      <c r="C75" s="1"/>
      <c r="D75" s="1"/>
      <c r="E75" s="1"/>
      <c r="F75" s="1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ht="15.75" customHeight="1" x14ac:dyDescent="0.25">
      <c r="A76" s="1"/>
      <c r="B76" s="1"/>
      <c r="C76" s="1"/>
      <c r="D76" s="1"/>
      <c r="E76" s="1"/>
      <c r="F76" s="1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ht="15.75" customHeight="1" x14ac:dyDescent="0.25">
      <c r="A77" s="1"/>
      <c r="B77" s="1"/>
      <c r="C77" s="1"/>
      <c r="D77" s="1"/>
      <c r="E77" s="1"/>
      <c r="F77" s="1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ht="15.75" customHeight="1" x14ac:dyDescent="0.25">
      <c r="A78" s="1"/>
      <c r="B78" s="1"/>
      <c r="C78" s="1"/>
      <c r="D78" s="1"/>
      <c r="E78" s="1"/>
      <c r="F78" s="1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ht="15.75" customHeight="1" x14ac:dyDescent="0.25">
      <c r="A79" s="1"/>
      <c r="B79" s="1"/>
      <c r="C79" s="1"/>
      <c r="D79" s="1"/>
      <c r="E79" s="1"/>
      <c r="F79" s="1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ht="15.75" customHeight="1" x14ac:dyDescent="0.25">
      <c r="A80" s="1"/>
      <c r="B80" s="1"/>
      <c r="C80" s="1"/>
      <c r="D80" s="1"/>
      <c r="E80" s="1"/>
      <c r="F80" s="1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ht="15.75" customHeight="1" x14ac:dyDescent="0.25">
      <c r="A81" s="1"/>
      <c r="B81" s="1"/>
      <c r="C81" s="1"/>
      <c r="D81" s="1"/>
      <c r="E81" s="1"/>
      <c r="F81" s="1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ht="15.75" customHeight="1" x14ac:dyDescent="0.25">
      <c r="A82" s="1"/>
      <c r="B82" s="1"/>
      <c r="C82" s="1"/>
      <c r="D82" s="1"/>
      <c r="E82" s="1"/>
      <c r="F82" s="1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ht="15.75" customHeight="1" x14ac:dyDescent="0.25">
      <c r="A83" s="1"/>
      <c r="B83" s="1"/>
      <c r="C83" s="1"/>
      <c r="D83" s="1"/>
      <c r="E83" s="1"/>
      <c r="F83" s="1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ht="15.75" customHeight="1" x14ac:dyDescent="0.25">
      <c r="A84" s="1"/>
      <c r="B84" s="1"/>
      <c r="C84" s="1"/>
      <c r="D84" s="1"/>
      <c r="E84" s="1"/>
      <c r="F84" s="1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ht="15.75" customHeight="1" x14ac:dyDescent="0.25">
      <c r="A85" s="1"/>
      <c r="B85" s="1"/>
      <c r="C85" s="1"/>
      <c r="D85" s="1"/>
      <c r="E85" s="1"/>
      <c r="F85" s="1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ht="15.75" customHeight="1" x14ac:dyDescent="0.25">
      <c r="A86" s="1"/>
      <c r="B86" s="1"/>
      <c r="C86" s="1"/>
      <c r="D86" s="1"/>
      <c r="E86" s="1"/>
      <c r="F86" s="1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ht="15.75" customHeight="1" x14ac:dyDescent="0.25">
      <c r="A87" s="1"/>
      <c r="B87" s="1"/>
      <c r="C87" s="1"/>
      <c r="D87" s="1"/>
      <c r="E87" s="1"/>
      <c r="F87" s="1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ht="15.75" customHeight="1" x14ac:dyDescent="0.25">
      <c r="A88" s="1"/>
      <c r="B88" s="1"/>
      <c r="C88" s="1"/>
      <c r="D88" s="1"/>
      <c r="E88" s="1"/>
      <c r="F88" s="1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ht="15.75" customHeight="1" x14ac:dyDescent="0.25">
      <c r="A89" s="1"/>
      <c r="B89" s="1"/>
      <c r="C89" s="1"/>
      <c r="D89" s="1"/>
      <c r="E89" s="1"/>
      <c r="F89" s="1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ht="15.75" customHeight="1" x14ac:dyDescent="0.25">
      <c r="A90" s="1"/>
      <c r="B90" s="1"/>
      <c r="C90" s="1"/>
      <c r="D90" s="1"/>
      <c r="E90" s="1"/>
      <c r="F90" s="1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ht="15.75" customHeight="1" x14ac:dyDescent="0.25">
      <c r="A91" s="1"/>
      <c r="B91" s="1"/>
      <c r="C91" s="1"/>
      <c r="D91" s="1"/>
      <c r="E91" s="1"/>
      <c r="F91" s="1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ht="15.75" customHeight="1" x14ac:dyDescent="0.25">
      <c r="A92" s="1"/>
      <c r="B92" s="1"/>
      <c r="C92" s="1"/>
      <c r="D92" s="1"/>
      <c r="E92" s="1"/>
      <c r="F92" s="1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t="15.75" customHeight="1" x14ac:dyDescent="0.25">
      <c r="A93" s="1"/>
      <c r="B93" s="1"/>
      <c r="C93" s="1"/>
      <c r="D93" s="1"/>
      <c r="E93" s="1"/>
      <c r="F93" s="1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ht="15.75" customHeight="1" x14ac:dyDescent="0.25">
      <c r="A94" s="1"/>
      <c r="B94" s="1"/>
      <c r="C94" s="1"/>
      <c r="D94" s="1"/>
      <c r="E94" s="1"/>
      <c r="F94" s="1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ht="15.75" customHeight="1" x14ac:dyDescent="0.25">
      <c r="A95" s="1"/>
      <c r="B95" s="1"/>
      <c r="C95" s="1"/>
      <c r="D95" s="1"/>
      <c r="E95" s="1"/>
      <c r="F95" s="1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ht="15.75" customHeight="1" x14ac:dyDescent="0.25">
      <c r="A96" s="1"/>
      <c r="B96" s="1"/>
      <c r="C96" s="1"/>
      <c r="D96" s="1"/>
      <c r="E96" s="1"/>
      <c r="F96" s="1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ht="15.75" customHeight="1" x14ac:dyDescent="0.25">
      <c r="A97" s="1"/>
      <c r="B97" s="1"/>
      <c r="C97" s="1"/>
      <c r="D97" s="1"/>
      <c r="E97" s="1"/>
      <c r="F97" s="1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ht="15.75" customHeight="1" x14ac:dyDescent="0.25">
      <c r="A98" s="1"/>
      <c r="B98" s="1"/>
      <c r="C98" s="1"/>
      <c r="D98" s="1"/>
      <c r="E98" s="1"/>
      <c r="F98" s="1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ht="15.75" customHeight="1" x14ac:dyDescent="0.25">
      <c r="A99" s="1"/>
      <c r="B99" s="1"/>
      <c r="C99" s="1"/>
      <c r="D99" s="1"/>
      <c r="E99" s="1"/>
      <c r="F99" s="1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ht="15.75" customHeight="1" x14ac:dyDescent="0.25">
      <c r="A100" s="1"/>
      <c r="B100" s="1"/>
      <c r="C100" s="1"/>
      <c r="D100" s="1"/>
      <c r="E100" s="1"/>
      <c r="F100" s="1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ht="15.75" customHeight="1" x14ac:dyDescent="0.25">
      <c r="A101" s="1"/>
      <c r="B101" s="1"/>
      <c r="C101" s="1"/>
      <c r="D101" s="1"/>
      <c r="E101" s="1"/>
      <c r="F101" s="1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ht="15.75" customHeight="1" x14ac:dyDescent="0.25">
      <c r="A102" s="1"/>
      <c r="B102" s="1"/>
      <c r="C102" s="1"/>
      <c r="D102" s="1"/>
      <c r="E102" s="1"/>
      <c r="F102" s="1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ht="15.75" customHeight="1" x14ac:dyDescent="0.25">
      <c r="A103" s="1"/>
      <c r="B103" s="1"/>
      <c r="C103" s="1"/>
      <c r="D103" s="1"/>
      <c r="E103" s="1"/>
      <c r="F103" s="1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ht="15.75" customHeight="1" x14ac:dyDescent="0.25">
      <c r="A104" s="1"/>
      <c r="B104" s="1"/>
      <c r="C104" s="1"/>
      <c r="D104" s="1"/>
      <c r="E104" s="1"/>
      <c r="F104" s="1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ht="15.75" customHeight="1" x14ac:dyDescent="0.25">
      <c r="A105" s="1"/>
      <c r="B105" s="1"/>
      <c r="C105" s="1"/>
      <c r="D105" s="1"/>
      <c r="E105" s="1"/>
      <c r="F105" s="1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ht="15.75" customHeight="1" x14ac:dyDescent="0.25">
      <c r="A106" s="1"/>
      <c r="B106" s="1"/>
      <c r="C106" s="1"/>
      <c r="D106" s="1"/>
      <c r="E106" s="1"/>
      <c r="F106" s="1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ht="15.75" customHeight="1" x14ac:dyDescent="0.25">
      <c r="A107" s="1"/>
      <c r="B107" s="1"/>
      <c r="C107" s="1"/>
      <c r="D107" s="1"/>
      <c r="E107" s="1"/>
      <c r="F107" s="1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ht="15.75" customHeight="1" x14ac:dyDescent="0.25">
      <c r="A108" s="1"/>
      <c r="B108" s="1"/>
      <c r="C108" s="1"/>
      <c r="D108" s="1"/>
      <c r="E108" s="1"/>
      <c r="F108" s="1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ht="15.75" customHeight="1" x14ac:dyDescent="0.25">
      <c r="A109" s="1"/>
      <c r="B109" s="1"/>
      <c r="C109" s="1"/>
      <c r="D109" s="1"/>
      <c r="E109" s="1"/>
      <c r="F109" s="1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ht="15.75" customHeight="1" x14ac:dyDescent="0.25">
      <c r="A110" s="1"/>
      <c r="B110" s="1"/>
      <c r="C110" s="1"/>
      <c r="D110" s="1"/>
      <c r="E110" s="1"/>
      <c r="F110" s="1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ht="15.75" customHeight="1" x14ac:dyDescent="0.25">
      <c r="A111" s="1"/>
      <c r="B111" s="1"/>
      <c r="C111" s="1"/>
      <c r="D111" s="1"/>
      <c r="E111" s="1"/>
      <c r="F111" s="1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ht="15.75" customHeight="1" x14ac:dyDescent="0.25">
      <c r="A112" s="1"/>
      <c r="B112" s="1"/>
      <c r="C112" s="1"/>
      <c r="D112" s="1"/>
      <c r="E112" s="1"/>
      <c r="F112" s="1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ht="15.75" customHeight="1" x14ac:dyDescent="0.25">
      <c r="A113" s="1"/>
      <c r="B113" s="1"/>
      <c r="C113" s="1"/>
      <c r="D113" s="1"/>
      <c r="E113" s="1"/>
      <c r="F113" s="1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ht="15.75" customHeight="1" x14ac:dyDescent="0.25">
      <c r="A114" s="1"/>
      <c r="B114" s="1"/>
      <c r="C114" s="1"/>
      <c r="D114" s="1"/>
      <c r="E114" s="1"/>
      <c r="F114" s="1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ht="15.75" customHeight="1" x14ac:dyDescent="0.25">
      <c r="A115" s="1"/>
      <c r="B115" s="1"/>
      <c r="C115" s="1"/>
      <c r="D115" s="1"/>
      <c r="E115" s="1"/>
      <c r="F115" s="1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ht="15.75" customHeight="1" x14ac:dyDescent="0.25">
      <c r="A116" s="1"/>
      <c r="B116" s="1"/>
      <c r="C116" s="1"/>
      <c r="D116" s="1"/>
      <c r="E116" s="1"/>
      <c r="F116" s="1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ht="15.75" customHeight="1" x14ac:dyDescent="0.25">
      <c r="A117" s="1"/>
      <c r="B117" s="1"/>
      <c r="C117" s="1"/>
      <c r="D117" s="1"/>
      <c r="E117" s="1"/>
      <c r="F117" s="1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ht="15.75" customHeight="1" x14ac:dyDescent="0.25">
      <c r="A118" s="1"/>
      <c r="B118" s="1"/>
      <c r="C118" s="1"/>
      <c r="D118" s="1"/>
      <c r="E118" s="1"/>
      <c r="F118" s="1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ht="15.75" customHeight="1" x14ac:dyDescent="0.25">
      <c r="A119" s="1"/>
      <c r="B119" s="1"/>
      <c r="C119" s="1"/>
      <c r="D119" s="1"/>
      <c r="E119" s="1"/>
      <c r="F119" s="1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ht="15.75" customHeight="1" x14ac:dyDescent="0.25">
      <c r="A120" s="1"/>
      <c r="B120" s="1"/>
      <c r="C120" s="1"/>
      <c r="D120" s="1"/>
      <c r="E120" s="1"/>
      <c r="F120" s="1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ht="15.75" customHeight="1" x14ac:dyDescent="0.25">
      <c r="A121" s="1"/>
      <c r="B121" s="1"/>
      <c r="C121" s="1"/>
      <c r="D121" s="1"/>
      <c r="E121" s="1"/>
      <c r="F121" s="1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ht="15.75" customHeight="1" x14ac:dyDescent="0.25">
      <c r="A122" s="1"/>
      <c r="B122" s="1"/>
      <c r="C122" s="1"/>
      <c r="D122" s="1"/>
      <c r="E122" s="1"/>
      <c r="F122" s="1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ht="15.75" customHeight="1" x14ac:dyDescent="0.25">
      <c r="A123" s="1"/>
      <c r="B123" s="1"/>
      <c r="C123" s="1"/>
      <c r="D123" s="1"/>
      <c r="E123" s="1"/>
      <c r="F123" s="1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ht="15.75" customHeight="1" x14ac:dyDescent="0.25">
      <c r="A124" s="1"/>
      <c r="B124" s="1"/>
      <c r="C124" s="1"/>
      <c r="D124" s="1"/>
      <c r="E124" s="1"/>
      <c r="F124" s="1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ht="15.75" customHeight="1" x14ac:dyDescent="0.25">
      <c r="A125" s="1"/>
      <c r="B125" s="1"/>
      <c r="C125" s="1"/>
      <c r="D125" s="1"/>
      <c r="E125" s="1"/>
      <c r="F125" s="1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ht="15.75" customHeight="1" x14ac:dyDescent="0.25">
      <c r="A126" s="1"/>
      <c r="B126" s="1"/>
      <c r="C126" s="1"/>
      <c r="D126" s="1"/>
      <c r="E126" s="1"/>
      <c r="F126" s="1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ht="15.75" customHeight="1" x14ac:dyDescent="0.25">
      <c r="A127" s="1"/>
      <c r="B127" s="1"/>
      <c r="C127" s="1"/>
      <c r="D127" s="1"/>
      <c r="E127" s="1"/>
      <c r="F127" s="1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ht="15.75" customHeight="1" x14ac:dyDescent="0.25">
      <c r="A128" s="1"/>
      <c r="B128" s="1"/>
      <c r="C128" s="1"/>
      <c r="D128" s="1"/>
      <c r="E128" s="1"/>
      <c r="F128" s="1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ht="15.75" customHeight="1" x14ac:dyDescent="0.25">
      <c r="A129" s="1"/>
      <c r="B129" s="1"/>
      <c r="C129" s="1"/>
      <c r="D129" s="1"/>
      <c r="E129" s="1"/>
      <c r="F129" s="1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ht="15.75" customHeight="1" x14ac:dyDescent="0.25">
      <c r="A130" s="1"/>
      <c r="B130" s="1"/>
      <c r="C130" s="1"/>
      <c r="D130" s="1"/>
      <c r="E130" s="1"/>
      <c r="F130" s="1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ht="15.75" customHeight="1" x14ac:dyDescent="0.25">
      <c r="A131" s="1"/>
      <c r="B131" s="1"/>
      <c r="C131" s="1"/>
      <c r="D131" s="1"/>
      <c r="E131" s="1"/>
      <c r="F131" s="1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ht="15.75" customHeight="1" x14ac:dyDescent="0.25">
      <c r="A132" s="1"/>
      <c r="B132" s="1"/>
      <c r="C132" s="1"/>
      <c r="D132" s="1"/>
      <c r="E132" s="1"/>
      <c r="F132" s="1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ht="15.75" customHeight="1" x14ac:dyDescent="0.25">
      <c r="A133" s="1"/>
      <c r="B133" s="1"/>
      <c r="C133" s="1"/>
      <c r="D133" s="1"/>
      <c r="E133" s="1"/>
      <c r="F133" s="1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ht="15.75" customHeight="1" x14ac:dyDescent="0.25">
      <c r="A134" s="1"/>
      <c r="B134" s="1"/>
      <c r="C134" s="1"/>
      <c r="D134" s="1"/>
      <c r="E134" s="1"/>
      <c r="F134" s="1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ht="15.75" customHeight="1" x14ac:dyDescent="0.25">
      <c r="A135" s="1"/>
      <c r="B135" s="1"/>
      <c r="C135" s="1"/>
      <c r="D135" s="1"/>
      <c r="E135" s="1"/>
      <c r="F135" s="1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ht="15.75" customHeight="1" x14ac:dyDescent="0.25">
      <c r="A136" s="1"/>
      <c r="B136" s="1"/>
      <c r="C136" s="1"/>
      <c r="D136" s="1"/>
      <c r="E136" s="1"/>
      <c r="F136" s="1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ht="15.75" customHeight="1" x14ac:dyDescent="0.25">
      <c r="A137" s="1"/>
      <c r="B137" s="1"/>
      <c r="C137" s="1"/>
      <c r="D137" s="1"/>
      <c r="E137" s="1"/>
      <c r="F137" s="1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ht="15.75" customHeight="1" x14ac:dyDescent="0.25">
      <c r="A138" s="1"/>
      <c r="B138" s="1"/>
      <c r="C138" s="1"/>
      <c r="D138" s="1"/>
      <c r="E138" s="1"/>
      <c r="F138" s="1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ht="15.75" customHeight="1" x14ac:dyDescent="0.25">
      <c r="A139" s="1"/>
      <c r="B139" s="1"/>
      <c r="C139" s="1"/>
      <c r="D139" s="1"/>
      <c r="E139" s="1"/>
      <c r="F139" s="1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ht="15.75" customHeight="1" x14ac:dyDescent="0.25">
      <c r="A140" s="1"/>
      <c r="B140" s="1"/>
      <c r="C140" s="1"/>
      <c r="D140" s="1"/>
      <c r="E140" s="1"/>
      <c r="F140" s="1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ht="15.75" customHeight="1" x14ac:dyDescent="0.25">
      <c r="A141" s="1"/>
      <c r="B141" s="1"/>
      <c r="C141" s="1"/>
      <c r="D141" s="1"/>
      <c r="E141" s="1"/>
      <c r="F141" s="1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ht="15.75" customHeight="1" x14ac:dyDescent="0.25">
      <c r="A142" s="1"/>
      <c r="B142" s="1"/>
      <c r="C142" s="1"/>
      <c r="D142" s="1"/>
      <c r="E142" s="1"/>
      <c r="F142" s="1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ht="15.75" customHeight="1" x14ac:dyDescent="0.25">
      <c r="A143" s="1"/>
      <c r="B143" s="1"/>
      <c r="C143" s="1"/>
      <c r="D143" s="1"/>
      <c r="E143" s="1"/>
      <c r="F143" s="1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ht="15.75" customHeight="1" x14ac:dyDescent="0.25">
      <c r="A144" s="1"/>
      <c r="B144" s="1"/>
      <c r="C144" s="1"/>
      <c r="D144" s="1"/>
      <c r="E144" s="1"/>
      <c r="F144" s="1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ht="15.75" customHeight="1" x14ac:dyDescent="0.25">
      <c r="A145" s="1"/>
      <c r="B145" s="1"/>
      <c r="C145" s="1"/>
      <c r="D145" s="1"/>
      <c r="E145" s="1"/>
      <c r="F145" s="1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ht="15.75" customHeight="1" x14ac:dyDescent="0.25">
      <c r="A146" s="1"/>
      <c r="B146" s="1"/>
      <c r="C146" s="1"/>
      <c r="D146" s="1"/>
      <c r="E146" s="1"/>
      <c r="F146" s="1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ht="15.75" customHeight="1" x14ac:dyDescent="0.25">
      <c r="A147" s="1"/>
      <c r="B147" s="1"/>
      <c r="C147" s="1"/>
      <c r="D147" s="1"/>
      <c r="E147" s="1"/>
      <c r="F147" s="1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ht="15.75" customHeight="1" x14ac:dyDescent="0.25">
      <c r="A148" s="1"/>
      <c r="B148" s="1"/>
      <c r="C148" s="1"/>
      <c r="D148" s="1"/>
      <c r="E148" s="1"/>
      <c r="F148" s="1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ht="15.75" customHeight="1" x14ac:dyDescent="0.25">
      <c r="A149" s="1"/>
      <c r="B149" s="1"/>
      <c r="C149" s="1"/>
      <c r="D149" s="1"/>
      <c r="E149" s="1"/>
      <c r="F149" s="1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ht="15.75" customHeight="1" x14ac:dyDescent="0.25">
      <c r="A150" s="1"/>
      <c r="B150" s="1"/>
      <c r="C150" s="1"/>
      <c r="D150" s="1"/>
      <c r="E150" s="1"/>
      <c r="F150" s="1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ht="15.75" customHeight="1" x14ac:dyDescent="0.25">
      <c r="A151" s="1"/>
      <c r="B151" s="1"/>
      <c r="C151" s="1"/>
      <c r="D151" s="1"/>
      <c r="E151" s="1"/>
      <c r="F151" s="1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ht="15.75" customHeight="1" x14ac:dyDescent="0.25">
      <c r="A152" s="1"/>
      <c r="B152" s="1"/>
      <c r="C152" s="1"/>
      <c r="D152" s="1"/>
      <c r="E152" s="1"/>
      <c r="F152" s="1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ht="15.75" customHeight="1" x14ac:dyDescent="0.25">
      <c r="A153" s="1"/>
      <c r="B153" s="1"/>
      <c r="C153" s="1"/>
      <c r="D153" s="1"/>
      <c r="E153" s="1"/>
      <c r="F153" s="1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ht="15.75" customHeight="1" x14ac:dyDescent="0.25">
      <c r="A154" s="1"/>
      <c r="B154" s="1"/>
      <c r="C154" s="1"/>
      <c r="D154" s="1"/>
      <c r="E154" s="1"/>
      <c r="F154" s="1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ht="15.75" customHeight="1" x14ac:dyDescent="0.25">
      <c r="A155" s="1"/>
      <c r="B155" s="1"/>
      <c r="C155" s="1"/>
      <c r="D155" s="1"/>
      <c r="E155" s="1"/>
      <c r="F155" s="1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ht="15.75" customHeight="1" x14ac:dyDescent="0.25">
      <c r="A156" s="1"/>
      <c r="B156" s="1"/>
      <c r="C156" s="1"/>
      <c r="D156" s="1"/>
      <c r="E156" s="1"/>
      <c r="F156" s="1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ht="15.75" customHeight="1" x14ac:dyDescent="0.25">
      <c r="A157" s="1"/>
      <c r="B157" s="1"/>
      <c r="C157" s="1"/>
      <c r="D157" s="1"/>
      <c r="E157" s="1"/>
      <c r="F157" s="1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ht="15.75" customHeight="1" x14ac:dyDescent="0.25">
      <c r="A158" s="1"/>
      <c r="B158" s="1"/>
      <c r="C158" s="1"/>
      <c r="D158" s="1"/>
      <c r="E158" s="1"/>
      <c r="F158" s="1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ht="15.75" customHeight="1" x14ac:dyDescent="0.25">
      <c r="A159" s="1"/>
      <c r="B159" s="1"/>
      <c r="C159" s="1"/>
      <c r="D159" s="1"/>
      <c r="E159" s="1"/>
      <c r="F159" s="1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ht="15.75" customHeight="1" x14ac:dyDescent="0.25">
      <c r="A160" s="1"/>
      <c r="B160" s="1"/>
      <c r="C160" s="1"/>
      <c r="D160" s="1"/>
      <c r="E160" s="1"/>
      <c r="F160" s="1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ht="15.75" customHeight="1" x14ac:dyDescent="0.25">
      <c r="A161" s="1"/>
      <c r="B161" s="1"/>
      <c r="C161" s="1"/>
      <c r="D161" s="1"/>
      <c r="E161" s="1"/>
      <c r="F161" s="1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ht="15.75" customHeight="1" x14ac:dyDescent="0.25">
      <c r="A162" s="1"/>
      <c r="B162" s="1"/>
      <c r="C162" s="1"/>
      <c r="D162" s="1"/>
      <c r="E162" s="1"/>
      <c r="F162" s="1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ht="15.75" customHeight="1" x14ac:dyDescent="0.25">
      <c r="A163" s="1"/>
      <c r="B163" s="1"/>
      <c r="C163" s="1"/>
      <c r="D163" s="1"/>
      <c r="E163" s="1"/>
      <c r="F163" s="1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ht="15.75" customHeight="1" x14ac:dyDescent="0.25">
      <c r="A164" s="1"/>
      <c r="B164" s="1"/>
      <c r="C164" s="1"/>
      <c r="D164" s="1"/>
      <c r="E164" s="1"/>
      <c r="F164" s="1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ht="15.75" customHeight="1" x14ac:dyDescent="0.25">
      <c r="A165" s="1"/>
      <c r="B165" s="1"/>
      <c r="C165" s="1"/>
      <c r="D165" s="1"/>
      <c r="E165" s="1"/>
      <c r="F165" s="1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ht="15.75" customHeight="1" x14ac:dyDescent="0.25">
      <c r="A166" s="1"/>
      <c r="B166" s="1"/>
      <c r="C166" s="1"/>
      <c r="D166" s="1"/>
      <c r="E166" s="1"/>
      <c r="F166" s="1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ht="15.75" customHeight="1" x14ac:dyDescent="0.25">
      <c r="A167" s="1"/>
      <c r="B167" s="1"/>
      <c r="C167" s="1"/>
      <c r="D167" s="1"/>
      <c r="E167" s="1"/>
      <c r="F167" s="1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ht="15.75" customHeight="1" x14ac:dyDescent="0.25">
      <c r="A168" s="1"/>
      <c r="B168" s="1"/>
      <c r="C168" s="1"/>
      <c r="D168" s="1"/>
      <c r="E168" s="1"/>
      <c r="F168" s="1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ht="15.75" customHeight="1" x14ac:dyDescent="0.25">
      <c r="A169" s="1"/>
      <c r="B169" s="1"/>
      <c r="C169" s="1"/>
      <c r="D169" s="1"/>
      <c r="E169" s="1"/>
      <c r="F169" s="1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ht="15.75" customHeight="1" x14ac:dyDescent="0.25">
      <c r="A170" s="1"/>
      <c r="B170" s="1"/>
      <c r="C170" s="1"/>
      <c r="D170" s="1"/>
      <c r="E170" s="1"/>
      <c r="F170" s="1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ht="15.75" customHeight="1" x14ac:dyDescent="0.25">
      <c r="A171" s="1"/>
      <c r="B171" s="1"/>
      <c r="C171" s="1"/>
      <c r="D171" s="1"/>
      <c r="E171" s="1"/>
      <c r="F171" s="1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ht="15.75" customHeight="1" x14ac:dyDescent="0.25">
      <c r="A172" s="1"/>
      <c r="B172" s="1"/>
      <c r="C172" s="1"/>
      <c r="D172" s="1"/>
      <c r="E172" s="1"/>
      <c r="F172" s="1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ht="15.75" customHeight="1" x14ac:dyDescent="0.25">
      <c r="A173" s="1"/>
      <c r="B173" s="1"/>
      <c r="C173" s="1"/>
      <c r="D173" s="1"/>
      <c r="E173" s="1"/>
      <c r="F173" s="1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ht="15.75" customHeight="1" x14ac:dyDescent="0.25">
      <c r="A174" s="1"/>
      <c r="B174" s="1"/>
      <c r="C174" s="1"/>
      <c r="D174" s="1"/>
      <c r="E174" s="1"/>
      <c r="F174" s="1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ht="15.75" customHeight="1" x14ac:dyDescent="0.25">
      <c r="A175" s="1"/>
      <c r="B175" s="1"/>
      <c r="C175" s="1"/>
      <c r="D175" s="1"/>
      <c r="E175" s="1"/>
      <c r="F175" s="1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ht="15.75" customHeight="1" x14ac:dyDescent="0.25">
      <c r="A176" s="1"/>
      <c r="B176" s="1"/>
      <c r="C176" s="1"/>
      <c r="D176" s="1"/>
      <c r="E176" s="1"/>
      <c r="F176" s="1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ht="15.75" customHeight="1" x14ac:dyDescent="0.25">
      <c r="A177" s="1"/>
      <c r="B177" s="1"/>
      <c r="C177" s="1"/>
      <c r="D177" s="1"/>
      <c r="E177" s="1"/>
      <c r="F177" s="1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ht="15.75" customHeight="1" x14ac:dyDescent="0.25">
      <c r="A178" s="1"/>
      <c r="B178" s="1"/>
      <c r="C178" s="1"/>
      <c r="D178" s="1"/>
      <c r="E178" s="1"/>
      <c r="F178" s="1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ht="15.75" customHeight="1" x14ac:dyDescent="0.25">
      <c r="A179" s="1"/>
      <c r="B179" s="1"/>
      <c r="C179" s="1"/>
      <c r="D179" s="1"/>
      <c r="E179" s="1"/>
      <c r="F179" s="1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ht="15.75" customHeight="1" x14ac:dyDescent="0.25">
      <c r="A180" s="1"/>
      <c r="B180" s="1"/>
      <c r="C180" s="1"/>
      <c r="D180" s="1"/>
      <c r="E180" s="1"/>
      <c r="F180" s="1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ht="15.75" customHeight="1" x14ac:dyDescent="0.25">
      <c r="A181" s="1"/>
      <c r="B181" s="1"/>
      <c r="C181" s="1"/>
      <c r="D181" s="1"/>
      <c r="E181" s="1"/>
      <c r="F181" s="1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ht="15.75" customHeight="1" x14ac:dyDescent="0.25">
      <c r="A182" s="1"/>
      <c r="B182" s="1"/>
      <c r="C182" s="1"/>
      <c r="D182" s="1"/>
      <c r="E182" s="1"/>
      <c r="F182" s="1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ht="15.75" customHeight="1" x14ac:dyDescent="0.25">
      <c r="A183" s="1"/>
      <c r="B183" s="1"/>
      <c r="C183" s="1"/>
      <c r="D183" s="1"/>
      <c r="E183" s="1"/>
      <c r="F183" s="1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ht="15.75" customHeight="1" x14ac:dyDescent="0.25">
      <c r="A184" s="1"/>
      <c r="B184" s="1"/>
      <c r="C184" s="1"/>
      <c r="D184" s="1"/>
      <c r="E184" s="1"/>
      <c r="F184" s="1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ht="15.75" customHeight="1" x14ac:dyDescent="0.25">
      <c r="A185" s="1"/>
      <c r="B185" s="1"/>
      <c r="C185" s="1"/>
      <c r="D185" s="1"/>
      <c r="E185" s="1"/>
      <c r="F185" s="1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ht="15.75" customHeight="1" x14ac:dyDescent="0.25">
      <c r="A186" s="1"/>
      <c r="B186" s="1"/>
      <c r="C186" s="1"/>
      <c r="D186" s="1"/>
      <c r="E186" s="1"/>
      <c r="F186" s="1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ht="15.75" customHeight="1" x14ac:dyDescent="0.25">
      <c r="A187" s="1"/>
      <c r="B187" s="1"/>
      <c r="C187" s="1"/>
      <c r="D187" s="1"/>
      <c r="E187" s="1"/>
      <c r="F187" s="1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ht="15.75" customHeight="1" x14ac:dyDescent="0.25">
      <c r="A188" s="1"/>
      <c r="B188" s="1"/>
      <c r="C188" s="1"/>
      <c r="D188" s="1"/>
      <c r="E188" s="1"/>
      <c r="F188" s="1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ht="15.75" customHeight="1" x14ac:dyDescent="0.25">
      <c r="A189" s="1"/>
      <c r="B189" s="1"/>
      <c r="C189" s="1"/>
      <c r="D189" s="1"/>
      <c r="E189" s="1"/>
      <c r="F189" s="1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ht="15.75" customHeight="1" x14ac:dyDescent="0.25">
      <c r="A190" s="1"/>
      <c r="B190" s="1"/>
      <c r="C190" s="1"/>
      <c r="D190" s="1"/>
      <c r="E190" s="1"/>
      <c r="F190" s="1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ht="15.75" customHeight="1" x14ac:dyDescent="0.25">
      <c r="A191" s="1"/>
      <c r="B191" s="1"/>
      <c r="C191" s="1"/>
      <c r="D191" s="1"/>
      <c r="E191" s="1"/>
      <c r="F191" s="1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ht="15.75" customHeight="1" x14ac:dyDescent="0.25">
      <c r="A192" s="1"/>
      <c r="B192" s="1"/>
      <c r="C192" s="1"/>
      <c r="D192" s="1"/>
      <c r="E192" s="1"/>
      <c r="F192" s="1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ht="15.75" customHeight="1" x14ac:dyDescent="0.25">
      <c r="A193" s="1"/>
      <c r="B193" s="1"/>
      <c r="C193" s="1"/>
      <c r="D193" s="1"/>
      <c r="E193" s="1"/>
      <c r="F193" s="1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ht="15.75" customHeight="1" x14ac:dyDescent="0.25">
      <c r="A194" s="1"/>
      <c r="B194" s="1"/>
      <c r="C194" s="1"/>
      <c r="D194" s="1"/>
      <c r="E194" s="1"/>
      <c r="F194" s="1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ht="15.75" customHeight="1" x14ac:dyDescent="0.25">
      <c r="A195" s="1"/>
      <c r="B195" s="1"/>
      <c r="C195" s="1"/>
      <c r="D195" s="1"/>
      <c r="E195" s="1"/>
      <c r="F195" s="1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ht="15.75" customHeight="1" x14ac:dyDescent="0.25">
      <c r="A196" s="1"/>
      <c r="B196" s="1"/>
      <c r="C196" s="1"/>
      <c r="D196" s="1"/>
      <c r="E196" s="1"/>
      <c r="F196" s="1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ht="15.75" customHeight="1" x14ac:dyDescent="0.25">
      <c r="A197" s="1"/>
      <c r="B197" s="1"/>
      <c r="C197" s="1"/>
      <c r="D197" s="1"/>
      <c r="E197" s="1"/>
      <c r="F197" s="1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ht="15.75" customHeight="1" x14ac:dyDescent="0.25">
      <c r="A198" s="1"/>
      <c r="B198" s="1"/>
      <c r="C198" s="1"/>
      <c r="D198" s="1"/>
      <c r="E198" s="1"/>
      <c r="F198" s="1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ht="15.75" customHeight="1" x14ac:dyDescent="0.25">
      <c r="A199" s="1"/>
      <c r="B199" s="1"/>
      <c r="C199" s="1"/>
      <c r="D199" s="1"/>
      <c r="E199" s="1"/>
      <c r="F199" s="1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ht="15.75" customHeight="1" x14ac:dyDescent="0.25">
      <c r="A200" s="1"/>
      <c r="B200" s="1"/>
      <c r="C200" s="1"/>
      <c r="D200" s="1"/>
      <c r="E200" s="1"/>
      <c r="F200" s="1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ht="15.75" customHeight="1" x14ac:dyDescent="0.25">
      <c r="A201" s="1"/>
      <c r="B201" s="1"/>
      <c r="C201" s="1"/>
      <c r="D201" s="1"/>
      <c r="E201" s="1"/>
      <c r="F201" s="1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ht="15.75" customHeight="1" x14ac:dyDescent="0.25">
      <c r="A202" s="1"/>
      <c r="B202" s="1"/>
      <c r="C202" s="1"/>
      <c r="D202" s="1"/>
      <c r="E202" s="1"/>
      <c r="F202" s="1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ht="15.75" customHeight="1" x14ac:dyDescent="0.25">
      <c r="A203" s="1"/>
      <c r="B203" s="1"/>
      <c r="C203" s="1"/>
      <c r="D203" s="1"/>
      <c r="E203" s="1"/>
      <c r="F203" s="1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ht="15.75" customHeight="1" x14ac:dyDescent="0.25">
      <c r="A204" s="1"/>
      <c r="B204" s="1"/>
      <c r="C204" s="1"/>
      <c r="D204" s="1"/>
      <c r="E204" s="1"/>
      <c r="F204" s="1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ht="15.75" customHeight="1" x14ac:dyDescent="0.25">
      <c r="A205" s="1"/>
      <c r="B205" s="1"/>
      <c r="C205" s="1"/>
      <c r="D205" s="1"/>
      <c r="E205" s="1"/>
      <c r="F205" s="1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ht="15.75" customHeight="1" x14ac:dyDescent="0.25">
      <c r="A206" s="1"/>
      <c r="B206" s="1"/>
      <c r="C206" s="1"/>
      <c r="D206" s="1"/>
      <c r="E206" s="1"/>
      <c r="F206" s="1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ht="15.75" customHeight="1" x14ac:dyDescent="0.25">
      <c r="A207" s="1"/>
      <c r="B207" s="1"/>
      <c r="C207" s="1"/>
      <c r="D207" s="1"/>
      <c r="E207" s="1"/>
      <c r="F207" s="1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ht="15.75" customHeight="1" x14ac:dyDescent="0.25">
      <c r="A208" s="1"/>
      <c r="B208" s="1"/>
      <c r="C208" s="1"/>
      <c r="D208" s="1"/>
      <c r="E208" s="1"/>
      <c r="F208" s="1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ht="15.75" customHeight="1" x14ac:dyDescent="0.25">
      <c r="A209" s="1"/>
      <c r="B209" s="1"/>
      <c r="C209" s="1"/>
      <c r="D209" s="1"/>
      <c r="E209" s="1"/>
      <c r="F209" s="1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ht="15.75" customHeight="1" x14ac:dyDescent="0.25">
      <c r="A210" s="1"/>
      <c r="B210" s="1"/>
      <c r="C210" s="1"/>
      <c r="D210" s="1"/>
      <c r="E210" s="1"/>
      <c r="F210" s="1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ht="15.75" customHeight="1" x14ac:dyDescent="0.25">
      <c r="A211" s="1"/>
      <c r="B211" s="1"/>
      <c r="C211" s="1"/>
      <c r="D211" s="1"/>
      <c r="E211" s="1"/>
      <c r="F211" s="1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ht="15.75" customHeight="1" x14ac:dyDescent="0.25">
      <c r="A212" s="1"/>
      <c r="B212" s="1"/>
      <c r="C212" s="1"/>
      <c r="D212" s="1"/>
      <c r="E212" s="1"/>
      <c r="F212" s="1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ht="15.75" customHeight="1" x14ac:dyDescent="0.25">
      <c r="A213" s="1"/>
      <c r="B213" s="1"/>
      <c r="C213" s="1"/>
      <c r="D213" s="1"/>
      <c r="E213" s="1"/>
      <c r="F213" s="1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ht="15.75" customHeight="1" x14ac:dyDescent="0.25">
      <c r="A214" s="1"/>
      <c r="B214" s="1"/>
      <c r="C214" s="1"/>
      <c r="D214" s="1"/>
      <c r="E214" s="1"/>
      <c r="F214" s="1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ht="15.75" customHeight="1" x14ac:dyDescent="0.25">
      <c r="A215" s="1"/>
      <c r="B215" s="1"/>
      <c r="C215" s="1"/>
      <c r="D215" s="1"/>
      <c r="E215" s="1"/>
      <c r="F215" s="1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ht="15.75" customHeight="1" x14ac:dyDescent="0.25">
      <c r="A216" s="1"/>
      <c r="B216" s="1"/>
      <c r="C216" s="1"/>
      <c r="D216" s="1"/>
      <c r="E216" s="1"/>
      <c r="F216" s="1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ht="15.75" customHeight="1" x14ac:dyDescent="0.25">
      <c r="A217" s="1"/>
      <c r="B217" s="1"/>
      <c r="C217" s="1"/>
      <c r="D217" s="1"/>
      <c r="E217" s="1"/>
      <c r="F217" s="1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ht="15.75" customHeight="1" x14ac:dyDescent="0.25">
      <c r="A218" s="1"/>
      <c r="B218" s="1"/>
      <c r="C218" s="1"/>
      <c r="D218" s="1"/>
      <c r="E218" s="1"/>
      <c r="F218" s="1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ht="15.75" customHeight="1" x14ac:dyDescent="0.25">
      <c r="A219" s="1"/>
      <c r="B219" s="1"/>
      <c r="C219" s="1"/>
      <c r="D219" s="1"/>
      <c r="E219" s="1"/>
      <c r="F219" s="1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ht="15.75" customHeight="1" x14ac:dyDescent="0.25">
      <c r="A220" s="1"/>
      <c r="B220" s="1"/>
      <c r="C220" s="1"/>
      <c r="D220" s="1"/>
      <c r="E220" s="1"/>
      <c r="F220" s="1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ht="15.75" customHeight="1" x14ac:dyDescent="0.25">
      <c r="A221" s="1"/>
      <c r="B221" s="1"/>
      <c r="C221" s="1"/>
      <c r="D221" s="1"/>
      <c r="E221" s="1"/>
      <c r="F221" s="1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ht="15.75" customHeight="1" x14ac:dyDescent="0.25">
      <c r="A222" s="1"/>
      <c r="B222" s="1"/>
      <c r="C222" s="1"/>
      <c r="D222" s="1"/>
      <c r="E222" s="1"/>
      <c r="F222" s="1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ht="15.75" customHeight="1" x14ac:dyDescent="0.25">
      <c r="A223" s="1"/>
      <c r="B223" s="1"/>
      <c r="C223" s="1"/>
      <c r="D223" s="1"/>
      <c r="E223" s="1"/>
      <c r="F223" s="1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ht="15.75" customHeight="1" x14ac:dyDescent="0.25">
      <c r="A224" s="1"/>
      <c r="B224" s="1"/>
      <c r="C224" s="1"/>
      <c r="D224" s="1"/>
      <c r="E224" s="1"/>
      <c r="F224" s="1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ht="15.75" customHeight="1" x14ac:dyDescent="0.25">
      <c r="A225" s="1"/>
      <c r="B225" s="1"/>
      <c r="C225" s="1"/>
      <c r="D225" s="1"/>
      <c r="E225" s="1"/>
      <c r="F225" s="1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ht="15.75" customHeight="1" x14ac:dyDescent="0.25">
      <c r="A226" s="1"/>
      <c r="B226" s="1"/>
      <c r="C226" s="1"/>
      <c r="D226" s="1"/>
      <c r="E226" s="1"/>
      <c r="F226" s="1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ht="15.75" customHeight="1" x14ac:dyDescent="0.25">
      <c r="A227" s="1"/>
      <c r="B227" s="1"/>
      <c r="C227" s="1"/>
      <c r="D227" s="1"/>
      <c r="E227" s="1"/>
      <c r="F227" s="1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ht="15.75" customHeight="1" x14ac:dyDescent="0.25">
      <c r="A228" s="1"/>
      <c r="B228" s="1"/>
      <c r="C228" s="1"/>
      <c r="D228" s="1"/>
      <c r="E228" s="1"/>
      <c r="F228" s="1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ht="15.75" customHeight="1" x14ac:dyDescent="0.25">
      <c r="A229" s="1"/>
      <c r="B229" s="1"/>
      <c r="C229" s="1"/>
      <c r="D229" s="1"/>
      <c r="E229" s="1"/>
      <c r="F229" s="1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ht="15.75" customHeight="1" x14ac:dyDescent="0.25">
      <c r="A230" s="1"/>
      <c r="B230" s="1"/>
      <c r="C230" s="1"/>
      <c r="D230" s="1"/>
      <c r="E230" s="1"/>
      <c r="F230" s="1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ht="15.75" customHeight="1" x14ac:dyDescent="0.25">
      <c r="A231" s="1"/>
      <c r="B231" s="1"/>
      <c r="C231" s="1"/>
      <c r="D231" s="1"/>
      <c r="E231" s="1"/>
      <c r="F231" s="1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ht="15.75" customHeight="1" x14ac:dyDescent="0.25">
      <c r="A232" s="1"/>
      <c r="B232" s="1"/>
      <c r="C232" s="1"/>
      <c r="D232" s="1"/>
      <c r="E232" s="1"/>
      <c r="F232" s="1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ht="15.75" customHeight="1" x14ac:dyDescent="0.25">
      <c r="A233" s="1"/>
      <c r="B233" s="1"/>
      <c r="C233" s="1"/>
      <c r="D233" s="1"/>
      <c r="E233" s="1"/>
      <c r="F233" s="1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ht="15.75" customHeight="1" x14ac:dyDescent="0.25">
      <c r="A234" s="1"/>
      <c r="B234" s="1"/>
      <c r="C234" s="1"/>
      <c r="D234" s="1"/>
      <c r="E234" s="1"/>
      <c r="F234" s="1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ht="15.75" customHeight="1" x14ac:dyDescent="0.25">
      <c r="A235" s="1"/>
      <c r="B235" s="1"/>
      <c r="C235" s="1"/>
      <c r="D235" s="1"/>
      <c r="E235" s="1"/>
      <c r="F235" s="1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ht="15.75" customHeight="1" x14ac:dyDescent="0.25">
      <c r="A236" s="1"/>
      <c r="B236" s="1"/>
      <c r="C236" s="1"/>
      <c r="D236" s="1"/>
      <c r="E236" s="1"/>
      <c r="F236" s="1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ht="15.75" customHeight="1" x14ac:dyDescent="0.25">
      <c r="A237" s="1"/>
      <c r="B237" s="1"/>
      <c r="C237" s="1"/>
      <c r="D237" s="1"/>
      <c r="E237" s="1"/>
      <c r="F237" s="1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ht="15.75" customHeight="1" x14ac:dyDescent="0.25">
      <c r="A238" s="1"/>
      <c r="B238" s="1"/>
      <c r="C238" s="1"/>
      <c r="D238" s="1"/>
      <c r="E238" s="1"/>
      <c r="F238" s="1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ht="15.75" customHeight="1" x14ac:dyDescent="0.25">
      <c r="A239" s="1"/>
      <c r="B239" s="1"/>
      <c r="C239" s="1"/>
      <c r="D239" s="1"/>
      <c r="E239" s="1"/>
      <c r="F239" s="1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ht="15.75" customHeight="1" x14ac:dyDescent="0.25">
      <c r="A240" s="1"/>
      <c r="B240" s="1"/>
      <c r="C240" s="1"/>
      <c r="D240" s="1"/>
      <c r="E240" s="1"/>
      <c r="F240" s="1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ht="15.75" customHeight="1" x14ac:dyDescent="0.25">
      <c r="A241" s="1"/>
      <c r="B241" s="1"/>
      <c r="C241" s="1"/>
      <c r="D241" s="1"/>
      <c r="E241" s="1"/>
      <c r="F241" s="1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ht="15.75" customHeight="1" x14ac:dyDescent="0.25">
      <c r="A242" s="1"/>
      <c r="B242" s="1"/>
      <c r="C242" s="1"/>
      <c r="D242" s="1"/>
      <c r="E242" s="1"/>
      <c r="F242" s="1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ht="15.75" customHeight="1" x14ac:dyDescent="0.25">
      <c r="A243" s="1"/>
      <c r="B243" s="1"/>
      <c r="C243" s="1"/>
      <c r="D243" s="1"/>
      <c r="E243" s="1"/>
      <c r="F243" s="1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ht="15.75" customHeight="1" x14ac:dyDescent="0.25">
      <c r="A244" s="1"/>
      <c r="B244" s="1"/>
      <c r="C244" s="1"/>
      <c r="D244" s="1"/>
      <c r="E244" s="1"/>
      <c r="F244" s="1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ht="15.75" customHeight="1" x14ac:dyDescent="0.25">
      <c r="A245" s="1"/>
      <c r="B245" s="1"/>
      <c r="C245" s="1"/>
      <c r="D245" s="1"/>
      <c r="E245" s="1"/>
      <c r="F245" s="1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ht="15.75" customHeight="1" x14ac:dyDescent="0.25">
      <c r="A246" s="1"/>
      <c r="B246" s="1"/>
      <c r="C246" s="1"/>
      <c r="D246" s="1"/>
      <c r="E246" s="1"/>
      <c r="F246" s="1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ht="15.75" customHeight="1" x14ac:dyDescent="0.25">
      <c r="A247" s="1"/>
      <c r="B247" s="1"/>
      <c r="C247" s="1"/>
      <c r="D247" s="1"/>
      <c r="E247" s="1"/>
      <c r="F247" s="1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ht="15.75" customHeight="1" x14ac:dyDescent="0.25">
      <c r="A248" s="1"/>
      <c r="B248" s="1"/>
      <c r="C248" s="1"/>
      <c r="D248" s="1"/>
      <c r="E248" s="1"/>
      <c r="F248" s="1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ht="15.75" customHeight="1" x14ac:dyDescent="0.25">
      <c r="A249" s="1"/>
      <c r="B249" s="1"/>
      <c r="C249" s="1"/>
      <c r="D249" s="1"/>
      <c r="E249" s="1"/>
      <c r="F249" s="1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ht="15.75" customHeight="1" x14ac:dyDescent="0.25">
      <c r="A250" s="1"/>
      <c r="B250" s="1"/>
      <c r="C250" s="1"/>
      <c r="D250" s="1"/>
      <c r="E250" s="1"/>
      <c r="F250" s="1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ht="15.75" customHeight="1" x14ac:dyDescent="0.25">
      <c r="A251" s="1"/>
      <c r="B251" s="1"/>
      <c r="C251" s="1"/>
      <c r="D251" s="1"/>
      <c r="E251" s="1"/>
      <c r="F251" s="1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ht="15.75" customHeight="1" x14ac:dyDescent="0.25">
      <c r="A252" s="1"/>
      <c r="B252" s="1"/>
      <c r="C252" s="1"/>
      <c r="D252" s="1"/>
      <c r="E252" s="1"/>
      <c r="F252" s="1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ht="15.75" customHeight="1" x14ac:dyDescent="0.25">
      <c r="A253" s="1"/>
      <c r="B253" s="1"/>
      <c r="C253" s="1"/>
      <c r="D253" s="1"/>
      <c r="E253" s="1"/>
      <c r="F253" s="1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ht="15.75" customHeight="1" x14ac:dyDescent="0.25">
      <c r="A254" s="1"/>
      <c r="B254" s="1"/>
      <c r="C254" s="1"/>
      <c r="D254" s="1"/>
      <c r="E254" s="1"/>
      <c r="F254" s="1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ht="15.75" customHeight="1" x14ac:dyDescent="0.25">
      <c r="A255" s="1"/>
      <c r="B255" s="1"/>
      <c r="C255" s="1"/>
      <c r="D255" s="1"/>
      <c r="E255" s="1"/>
      <c r="F255" s="1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ht="15.75" customHeight="1" x14ac:dyDescent="0.25">
      <c r="A256" s="1"/>
      <c r="B256" s="1"/>
      <c r="C256" s="1"/>
      <c r="D256" s="1"/>
      <c r="E256" s="1"/>
      <c r="F256" s="1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ht="15.75" customHeight="1" x14ac:dyDescent="0.25">
      <c r="A257" s="1"/>
      <c r="B257" s="1"/>
      <c r="C257" s="1"/>
      <c r="D257" s="1"/>
      <c r="E257" s="1"/>
      <c r="F257" s="1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ht="15.75" customHeight="1" x14ac:dyDescent="0.25">
      <c r="A258" s="1"/>
      <c r="B258" s="1"/>
      <c r="C258" s="1"/>
      <c r="D258" s="1"/>
      <c r="E258" s="1"/>
      <c r="F258" s="1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ht="15.75" customHeight="1" x14ac:dyDescent="0.25">
      <c r="A259" s="1"/>
      <c r="B259" s="1"/>
      <c r="C259" s="1"/>
      <c r="D259" s="1"/>
      <c r="E259" s="1"/>
      <c r="F259" s="1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ht="15.75" customHeight="1" x14ac:dyDescent="0.25">
      <c r="A260" s="1"/>
      <c r="B260" s="1"/>
      <c r="C260" s="1"/>
      <c r="D260" s="1"/>
      <c r="E260" s="1"/>
      <c r="F260" s="1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ht="15.75" customHeight="1" x14ac:dyDescent="0.25">
      <c r="A261" s="1"/>
      <c r="B261" s="1"/>
      <c r="C261" s="1"/>
      <c r="D261" s="1"/>
      <c r="E261" s="1"/>
      <c r="F261" s="1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ht="15.75" customHeight="1" x14ac:dyDescent="0.25">
      <c r="A262" s="1"/>
      <c r="B262" s="1"/>
      <c r="C262" s="1"/>
      <c r="D262" s="1"/>
      <c r="E262" s="1"/>
      <c r="F262" s="1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ht="15.75" customHeight="1" x14ac:dyDescent="0.25">
      <c r="A263" s="1"/>
      <c r="B263" s="1"/>
      <c r="C263" s="1"/>
      <c r="D263" s="1"/>
      <c r="E263" s="1"/>
      <c r="F263" s="1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ht="15.75" customHeight="1" x14ac:dyDescent="0.25">
      <c r="A264" s="1"/>
      <c r="B264" s="1"/>
      <c r="C264" s="1"/>
      <c r="D264" s="1"/>
      <c r="E264" s="1"/>
      <c r="F264" s="1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ht="15.75" customHeight="1" x14ac:dyDescent="0.25">
      <c r="A265" s="1"/>
      <c r="B265" s="1"/>
      <c r="C265" s="1"/>
      <c r="D265" s="1"/>
      <c r="E265" s="1"/>
      <c r="F265" s="1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ht="15.75" customHeight="1" x14ac:dyDescent="0.25">
      <c r="A266" s="1"/>
      <c r="B266" s="1"/>
      <c r="C266" s="1"/>
      <c r="D266" s="1"/>
      <c r="E266" s="1"/>
      <c r="F266" s="1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ht="15.75" customHeight="1" x14ac:dyDescent="0.25">
      <c r="A267" s="1"/>
      <c r="B267" s="1"/>
      <c r="C267" s="1"/>
      <c r="D267" s="1"/>
      <c r="E267" s="1"/>
      <c r="F267" s="1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ht="15.75" customHeight="1" x14ac:dyDescent="0.25">
      <c r="A268" s="1"/>
      <c r="B268" s="1"/>
      <c r="C268" s="1"/>
      <c r="D268" s="1"/>
      <c r="E268" s="1"/>
      <c r="F268" s="1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ht="15.75" customHeight="1" x14ac:dyDescent="0.25">
      <c r="A269" s="1"/>
      <c r="B269" s="1"/>
      <c r="C269" s="1"/>
      <c r="D269" s="1"/>
      <c r="E269" s="1"/>
      <c r="F269" s="1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ht="15.75" customHeight="1" x14ac:dyDescent="0.25">
      <c r="A270" s="1"/>
      <c r="B270" s="1"/>
      <c r="C270" s="1"/>
      <c r="D270" s="1"/>
      <c r="E270" s="1"/>
      <c r="F270" s="1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ht="15.75" customHeight="1" x14ac:dyDescent="0.25">
      <c r="A271" s="1"/>
      <c r="B271" s="1"/>
      <c r="C271" s="1"/>
      <c r="D271" s="1"/>
      <c r="E271" s="1"/>
      <c r="F271" s="1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ht="15.75" customHeight="1" x14ac:dyDescent="0.25">
      <c r="A272" s="1"/>
      <c r="B272" s="1"/>
      <c r="C272" s="1"/>
      <c r="D272" s="1"/>
      <c r="E272" s="1"/>
      <c r="F272" s="1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ht="15.75" customHeight="1" x14ac:dyDescent="0.25">
      <c r="A273" s="1"/>
      <c r="B273" s="1"/>
      <c r="C273" s="1"/>
      <c r="D273" s="1"/>
      <c r="E273" s="1"/>
      <c r="F273" s="1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ht="15.75" customHeight="1" x14ac:dyDescent="0.25">
      <c r="A274" s="1"/>
      <c r="B274" s="1"/>
      <c r="C274" s="1"/>
      <c r="D274" s="1"/>
      <c r="E274" s="1"/>
      <c r="F274" s="1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ht="15.75" customHeight="1" x14ac:dyDescent="0.25">
      <c r="A275" s="1"/>
      <c r="B275" s="1"/>
      <c r="C275" s="1"/>
      <c r="D275" s="1"/>
      <c r="E275" s="1"/>
      <c r="F275" s="1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ht="15.75" customHeight="1" x14ac:dyDescent="0.25">
      <c r="A276" s="1"/>
      <c r="B276" s="1"/>
      <c r="C276" s="1"/>
      <c r="D276" s="1"/>
      <c r="E276" s="1"/>
      <c r="F276" s="1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ht="15.75" customHeight="1" x14ac:dyDescent="0.25">
      <c r="A277" s="1"/>
      <c r="B277" s="1"/>
      <c r="C277" s="1"/>
      <c r="D277" s="1"/>
      <c r="E277" s="1"/>
      <c r="F277" s="1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ht="15.75" customHeight="1" x14ac:dyDescent="0.25">
      <c r="A278" s="1"/>
      <c r="B278" s="1"/>
      <c r="C278" s="1"/>
      <c r="D278" s="1"/>
      <c r="E278" s="1"/>
      <c r="F278" s="1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ht="15.75" customHeight="1" x14ac:dyDescent="0.25">
      <c r="A279" s="1"/>
      <c r="B279" s="1"/>
      <c r="C279" s="1"/>
      <c r="D279" s="1"/>
      <c r="E279" s="1"/>
      <c r="F279" s="1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ht="15.75" customHeight="1" x14ac:dyDescent="0.25">
      <c r="A280" s="1"/>
      <c r="B280" s="1"/>
      <c r="C280" s="1"/>
      <c r="D280" s="1"/>
      <c r="E280" s="1"/>
      <c r="F280" s="1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ht="15.75" customHeight="1" x14ac:dyDescent="0.25">
      <c r="A281" s="1"/>
      <c r="B281" s="1"/>
      <c r="C281" s="1"/>
      <c r="D281" s="1"/>
      <c r="E281" s="1"/>
      <c r="F281" s="1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ht="15.75" customHeight="1" x14ac:dyDescent="0.25">
      <c r="A282" s="1"/>
      <c r="B282" s="1"/>
      <c r="C282" s="1"/>
      <c r="D282" s="1"/>
      <c r="E282" s="1"/>
      <c r="F282" s="1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ht="15.75" customHeight="1" x14ac:dyDescent="0.25">
      <c r="A283" s="1"/>
      <c r="B283" s="1"/>
      <c r="C283" s="1"/>
      <c r="D283" s="1"/>
      <c r="E283" s="1"/>
      <c r="F283" s="1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ht="15.75" customHeight="1" x14ac:dyDescent="0.25">
      <c r="A284" s="1"/>
      <c r="B284" s="1"/>
      <c r="C284" s="1"/>
      <c r="D284" s="1"/>
      <c r="E284" s="1"/>
      <c r="F284" s="1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ht="15.75" customHeight="1" x14ac:dyDescent="0.25">
      <c r="A285" s="1"/>
      <c r="B285" s="1"/>
      <c r="C285" s="1"/>
      <c r="D285" s="1"/>
      <c r="E285" s="1"/>
      <c r="F285" s="1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ht="15.75" customHeight="1" x14ac:dyDescent="0.25">
      <c r="A286" s="1"/>
      <c r="B286" s="1"/>
      <c r="C286" s="1"/>
      <c r="D286" s="1"/>
      <c r="E286" s="1"/>
      <c r="F286" s="1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ht="15.75" customHeight="1" x14ac:dyDescent="0.25">
      <c r="A287" s="1"/>
      <c r="B287" s="1"/>
      <c r="C287" s="1"/>
      <c r="D287" s="1"/>
      <c r="E287" s="1"/>
      <c r="F287" s="1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ht="15.75" customHeight="1" x14ac:dyDescent="0.25">
      <c r="A288" s="1"/>
      <c r="B288" s="1"/>
      <c r="C288" s="1"/>
      <c r="D288" s="1"/>
      <c r="E288" s="1"/>
      <c r="F288" s="1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ht="15.75" customHeight="1" x14ac:dyDescent="0.25">
      <c r="A289" s="1"/>
      <c r="B289" s="1"/>
      <c r="C289" s="1"/>
      <c r="D289" s="1"/>
      <c r="E289" s="1"/>
      <c r="F289" s="1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ht="15.75" customHeight="1" x14ac:dyDescent="0.25">
      <c r="A290" s="1"/>
      <c r="B290" s="1"/>
      <c r="C290" s="1"/>
      <c r="D290" s="1"/>
      <c r="E290" s="1"/>
      <c r="F290" s="1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ht="15.75" customHeight="1" x14ac:dyDescent="0.25">
      <c r="A291" s="1"/>
      <c r="B291" s="1"/>
      <c r="C291" s="1"/>
      <c r="D291" s="1"/>
      <c r="E291" s="1"/>
      <c r="F291" s="1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ht="15.75" customHeight="1" x14ac:dyDescent="0.25">
      <c r="A292" s="1"/>
      <c r="B292" s="1"/>
      <c r="C292" s="1"/>
      <c r="D292" s="1"/>
      <c r="E292" s="1"/>
      <c r="F292" s="1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ht="15.75" customHeight="1" x14ac:dyDescent="0.25">
      <c r="A293" s="1"/>
      <c r="B293" s="1"/>
      <c r="C293" s="1"/>
      <c r="D293" s="1"/>
      <c r="E293" s="1"/>
      <c r="F293" s="1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ht="15.75" customHeight="1" x14ac:dyDescent="0.25">
      <c r="A294" s="1"/>
      <c r="B294" s="1"/>
      <c r="C294" s="1"/>
      <c r="D294" s="1"/>
      <c r="E294" s="1"/>
      <c r="F294" s="1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ht="15.75" customHeight="1" x14ac:dyDescent="0.25">
      <c r="A295" s="1"/>
      <c r="B295" s="1"/>
      <c r="C295" s="1"/>
      <c r="D295" s="1"/>
      <c r="E295" s="1"/>
      <c r="F295" s="1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ht="15.75" customHeight="1" x14ac:dyDescent="0.25">
      <c r="A296" s="1"/>
      <c r="B296" s="1"/>
      <c r="C296" s="1"/>
      <c r="D296" s="1"/>
      <c r="E296" s="1"/>
      <c r="F296" s="1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ht="15.75" customHeight="1" x14ac:dyDescent="0.25">
      <c r="A297" s="1"/>
      <c r="B297" s="1"/>
      <c r="C297" s="1"/>
      <c r="D297" s="1"/>
      <c r="E297" s="1"/>
      <c r="F297" s="1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ht="15.75" customHeight="1" x14ac:dyDescent="0.25">
      <c r="A298" s="1"/>
      <c r="B298" s="1"/>
      <c r="C298" s="1"/>
      <c r="D298" s="1"/>
      <c r="E298" s="1"/>
      <c r="F298" s="1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ht="15.75" customHeight="1" x14ac:dyDescent="0.25">
      <c r="A299" s="1"/>
      <c r="B299" s="1"/>
      <c r="C299" s="1"/>
      <c r="D299" s="1"/>
      <c r="E299" s="1"/>
      <c r="F299" s="1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ht="15.75" customHeight="1" x14ac:dyDescent="0.25">
      <c r="A300" s="1"/>
      <c r="B300" s="1"/>
      <c r="C300" s="1"/>
      <c r="D300" s="1"/>
      <c r="E300" s="1"/>
      <c r="F300" s="1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ht="15.75" customHeight="1" x14ac:dyDescent="0.25">
      <c r="A301" s="1"/>
      <c r="B301" s="1"/>
      <c r="C301" s="1"/>
      <c r="D301" s="1"/>
      <c r="E301" s="1"/>
      <c r="F301" s="1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ht="15.75" customHeight="1" x14ac:dyDescent="0.25">
      <c r="A302" s="1"/>
      <c r="B302" s="1"/>
      <c r="C302" s="1"/>
      <c r="D302" s="1"/>
      <c r="E302" s="1"/>
      <c r="F302" s="1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ht="15.75" customHeight="1" x14ac:dyDescent="0.25">
      <c r="A303" s="1"/>
      <c r="B303" s="1"/>
      <c r="C303" s="1"/>
      <c r="D303" s="1"/>
      <c r="E303" s="1"/>
      <c r="F303" s="1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ht="15.75" customHeight="1" x14ac:dyDescent="0.25">
      <c r="A304" s="1"/>
      <c r="B304" s="1"/>
      <c r="C304" s="1"/>
      <c r="D304" s="1"/>
      <c r="E304" s="1"/>
      <c r="F304" s="1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ht="15.75" customHeight="1" x14ac:dyDescent="0.25">
      <c r="A305" s="1"/>
      <c r="B305" s="1"/>
      <c r="C305" s="1"/>
      <c r="D305" s="1"/>
      <c r="E305" s="1"/>
      <c r="F305" s="1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ht="15.75" customHeight="1" x14ac:dyDescent="0.25">
      <c r="A306" s="1"/>
      <c r="B306" s="1"/>
      <c r="C306" s="1"/>
      <c r="D306" s="1"/>
      <c r="E306" s="1"/>
      <c r="F306" s="1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ht="15.75" customHeight="1" x14ac:dyDescent="0.25">
      <c r="A307" s="1"/>
      <c r="B307" s="1"/>
      <c r="C307" s="1"/>
      <c r="D307" s="1"/>
      <c r="E307" s="1"/>
      <c r="F307" s="1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ht="15.75" customHeight="1" x14ac:dyDescent="0.25">
      <c r="A308" s="1"/>
      <c r="B308" s="1"/>
      <c r="C308" s="1"/>
      <c r="D308" s="1"/>
      <c r="E308" s="1"/>
      <c r="F308" s="1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ht="15.75" customHeight="1" x14ac:dyDescent="0.25">
      <c r="A309" s="1"/>
      <c r="B309" s="1"/>
      <c r="C309" s="1"/>
      <c r="D309" s="1"/>
      <c r="E309" s="1"/>
      <c r="F309" s="1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ht="15.75" customHeight="1" x14ac:dyDescent="0.25">
      <c r="A310" s="1"/>
      <c r="B310" s="1"/>
      <c r="C310" s="1"/>
      <c r="D310" s="1"/>
      <c r="E310" s="1"/>
      <c r="F310" s="1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ht="15.75" customHeight="1" x14ac:dyDescent="0.25">
      <c r="A311" s="1"/>
      <c r="B311" s="1"/>
      <c r="C311" s="1"/>
      <c r="D311" s="1"/>
      <c r="E311" s="1"/>
      <c r="F311" s="1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ht="15.75" customHeight="1" x14ac:dyDescent="0.25">
      <c r="A312" s="1"/>
      <c r="B312" s="1"/>
      <c r="C312" s="1"/>
      <c r="D312" s="1"/>
      <c r="E312" s="1"/>
      <c r="F312" s="1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ht="15.75" customHeight="1" x14ac:dyDescent="0.25">
      <c r="A313" s="1"/>
      <c r="B313" s="1"/>
      <c r="C313" s="1"/>
      <c r="D313" s="1"/>
      <c r="E313" s="1"/>
      <c r="F313" s="1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ht="15.75" customHeight="1" x14ac:dyDescent="0.25">
      <c r="A314" s="1"/>
      <c r="B314" s="1"/>
      <c r="C314" s="1"/>
      <c r="D314" s="1"/>
      <c r="E314" s="1"/>
      <c r="F314" s="1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ht="15.75" customHeight="1" x14ac:dyDescent="0.25">
      <c r="A315" s="1"/>
      <c r="B315" s="1"/>
      <c r="C315" s="1"/>
      <c r="D315" s="1"/>
      <c r="E315" s="1"/>
      <c r="F315" s="1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ht="15.75" customHeight="1" x14ac:dyDescent="0.25">
      <c r="A316" s="1"/>
      <c r="B316" s="1"/>
      <c r="C316" s="1"/>
      <c r="D316" s="1"/>
      <c r="E316" s="1"/>
      <c r="F316" s="1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ht="15.75" customHeight="1" x14ac:dyDescent="0.25">
      <c r="A317" s="1"/>
      <c r="B317" s="1"/>
      <c r="C317" s="1"/>
      <c r="D317" s="1"/>
      <c r="E317" s="1"/>
      <c r="F317" s="1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ht="15.75" customHeight="1" x14ac:dyDescent="0.25">
      <c r="A318" s="1"/>
      <c r="B318" s="1"/>
      <c r="C318" s="1"/>
      <c r="D318" s="1"/>
      <c r="E318" s="1"/>
      <c r="F318" s="1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ht="15.75" customHeight="1" x14ac:dyDescent="0.25">
      <c r="A319" s="1"/>
      <c r="B319" s="1"/>
      <c r="C319" s="1"/>
      <c r="D319" s="1"/>
      <c r="E319" s="1"/>
      <c r="F319" s="1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ht="15.75" customHeight="1" x14ac:dyDescent="0.25">
      <c r="A320" s="1"/>
      <c r="B320" s="1"/>
      <c r="C320" s="1"/>
      <c r="D320" s="1"/>
      <c r="E320" s="1"/>
      <c r="F320" s="1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ht="15.75" customHeight="1" x14ac:dyDescent="0.25">
      <c r="A321" s="1"/>
      <c r="B321" s="1"/>
      <c r="C321" s="1"/>
      <c r="D321" s="1"/>
      <c r="E321" s="1"/>
      <c r="F321" s="1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ht="15.75" customHeight="1" x14ac:dyDescent="0.25">
      <c r="A322" s="1"/>
      <c r="B322" s="1"/>
      <c r="C322" s="1"/>
      <c r="D322" s="1"/>
      <c r="E322" s="1"/>
      <c r="F322" s="1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ht="15.75" customHeight="1" x14ac:dyDescent="0.25">
      <c r="A323" s="1"/>
      <c r="B323" s="1"/>
      <c r="C323" s="1"/>
      <c r="D323" s="1"/>
      <c r="E323" s="1"/>
      <c r="F323" s="1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ht="15.75" customHeight="1" x14ac:dyDescent="0.25">
      <c r="A324" s="1"/>
      <c r="B324" s="1"/>
      <c r="C324" s="1"/>
      <c r="D324" s="1"/>
      <c r="E324" s="1"/>
      <c r="F324" s="1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ht="15.75" customHeight="1" x14ac:dyDescent="0.25">
      <c r="A325" s="1"/>
      <c r="B325" s="1"/>
      <c r="C325" s="1"/>
      <c r="D325" s="1"/>
      <c r="E325" s="1"/>
      <c r="F325" s="1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ht="15.75" customHeight="1" x14ac:dyDescent="0.25">
      <c r="A326" s="1"/>
      <c r="B326" s="1"/>
      <c r="C326" s="1"/>
      <c r="D326" s="1"/>
      <c r="E326" s="1"/>
      <c r="F326" s="1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ht="15.75" customHeight="1" x14ac:dyDescent="0.25">
      <c r="A327" s="1"/>
      <c r="B327" s="1"/>
      <c r="C327" s="1"/>
      <c r="D327" s="1"/>
      <c r="E327" s="1"/>
      <c r="F327" s="1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ht="15.75" customHeight="1" x14ac:dyDescent="0.25">
      <c r="A328" s="1"/>
      <c r="B328" s="1"/>
      <c r="C328" s="1"/>
      <c r="D328" s="1"/>
      <c r="E328" s="1"/>
      <c r="F328" s="1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ht="15.75" customHeight="1" x14ac:dyDescent="0.25">
      <c r="A329" s="1"/>
      <c r="B329" s="1"/>
      <c r="C329" s="1"/>
      <c r="D329" s="1"/>
      <c r="E329" s="1"/>
      <c r="F329" s="1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ht="15.75" customHeight="1" x14ac:dyDescent="0.25">
      <c r="A330" s="1"/>
      <c r="B330" s="1"/>
      <c r="C330" s="1"/>
      <c r="D330" s="1"/>
      <c r="E330" s="1"/>
      <c r="F330" s="1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ht="15.75" customHeight="1" x14ac:dyDescent="0.25">
      <c r="A331" s="1"/>
      <c r="B331" s="1"/>
      <c r="C331" s="1"/>
      <c r="D331" s="1"/>
      <c r="E331" s="1"/>
      <c r="F331" s="1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ht="15.75" customHeight="1" x14ac:dyDescent="0.25">
      <c r="A332" s="1"/>
      <c r="B332" s="1"/>
      <c r="C332" s="1"/>
      <c r="D332" s="1"/>
      <c r="E332" s="1"/>
      <c r="F332" s="1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ht="15.75" customHeight="1" x14ac:dyDescent="0.25">
      <c r="A333" s="1"/>
      <c r="B333" s="1"/>
      <c r="C333" s="1"/>
      <c r="D333" s="1"/>
      <c r="E333" s="1"/>
      <c r="F333" s="1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ht="15.75" customHeight="1" x14ac:dyDescent="0.25">
      <c r="A334" s="1"/>
      <c r="B334" s="1"/>
      <c r="C334" s="1"/>
      <c r="D334" s="1"/>
      <c r="E334" s="1"/>
      <c r="F334" s="1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ht="15.75" customHeight="1" x14ac:dyDescent="0.25">
      <c r="A335" s="1"/>
      <c r="B335" s="1"/>
      <c r="C335" s="1"/>
      <c r="D335" s="1"/>
      <c r="E335" s="1"/>
      <c r="F335" s="1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ht="15.75" customHeight="1" x14ac:dyDescent="0.25">
      <c r="A336" s="1"/>
      <c r="B336" s="1"/>
      <c r="C336" s="1"/>
      <c r="D336" s="1"/>
      <c r="E336" s="1"/>
      <c r="F336" s="1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ht="15.75" customHeight="1" x14ac:dyDescent="0.25">
      <c r="A337" s="1"/>
      <c r="B337" s="1"/>
      <c r="C337" s="1"/>
      <c r="D337" s="1"/>
      <c r="E337" s="1"/>
      <c r="F337" s="1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ht="15.75" customHeight="1" x14ac:dyDescent="0.25">
      <c r="A338" s="1"/>
      <c r="B338" s="1"/>
      <c r="C338" s="1"/>
      <c r="D338" s="1"/>
      <c r="E338" s="1"/>
      <c r="F338" s="1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ht="15.75" customHeight="1" x14ac:dyDescent="0.25">
      <c r="A339" s="1"/>
      <c r="B339" s="1"/>
      <c r="C339" s="1"/>
      <c r="D339" s="1"/>
      <c r="E339" s="1"/>
      <c r="F339" s="1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ht="15.75" customHeight="1" x14ac:dyDescent="0.25">
      <c r="A340" s="1"/>
      <c r="B340" s="1"/>
      <c r="C340" s="1"/>
      <c r="D340" s="1"/>
      <c r="E340" s="1"/>
      <c r="F340" s="1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ht="15.75" customHeight="1" x14ac:dyDescent="0.25">
      <c r="A341" s="1"/>
      <c r="B341" s="1"/>
      <c r="C341" s="1"/>
      <c r="D341" s="1"/>
      <c r="E341" s="1"/>
      <c r="F341" s="1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ht="15.75" customHeight="1" x14ac:dyDescent="0.25">
      <c r="A342" s="1"/>
      <c r="B342" s="1"/>
      <c r="C342" s="1"/>
      <c r="D342" s="1"/>
      <c r="E342" s="1"/>
      <c r="F342" s="1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ht="15.75" customHeight="1" x14ac:dyDescent="0.25">
      <c r="A343" s="1"/>
      <c r="B343" s="1"/>
      <c r="C343" s="1"/>
      <c r="D343" s="1"/>
      <c r="E343" s="1"/>
      <c r="F343" s="1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ht="15.75" customHeight="1" x14ac:dyDescent="0.25">
      <c r="A344" s="1"/>
      <c r="B344" s="1"/>
      <c r="C344" s="1"/>
      <c r="D344" s="1"/>
      <c r="E344" s="1"/>
      <c r="F344" s="1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ht="15.75" customHeight="1" x14ac:dyDescent="0.25">
      <c r="A345" s="1"/>
      <c r="B345" s="1"/>
      <c r="C345" s="1"/>
      <c r="D345" s="1"/>
      <c r="E345" s="1"/>
      <c r="F345" s="1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ht="15.75" customHeight="1" x14ac:dyDescent="0.25">
      <c r="A346" s="1"/>
      <c r="B346" s="1"/>
      <c r="C346" s="1"/>
      <c r="D346" s="1"/>
      <c r="E346" s="1"/>
      <c r="F346" s="1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ht="15.75" customHeight="1" x14ac:dyDescent="0.25">
      <c r="A347" s="1"/>
      <c r="B347" s="1"/>
      <c r="C347" s="1"/>
      <c r="D347" s="1"/>
      <c r="E347" s="1"/>
      <c r="F347" s="1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ht="15.75" customHeight="1" x14ac:dyDescent="0.25">
      <c r="A348" s="1"/>
      <c r="B348" s="1"/>
      <c r="C348" s="1"/>
      <c r="D348" s="1"/>
      <c r="E348" s="1"/>
      <c r="F348" s="1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ht="15.75" customHeight="1" x14ac:dyDescent="0.25">
      <c r="A349" s="1"/>
      <c r="B349" s="1"/>
      <c r="C349" s="1"/>
      <c r="D349" s="1"/>
      <c r="E349" s="1"/>
      <c r="F349" s="1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ht="15.75" customHeight="1" x14ac:dyDescent="0.25">
      <c r="A350" s="1"/>
      <c r="B350" s="1"/>
      <c r="C350" s="1"/>
      <c r="D350" s="1"/>
      <c r="E350" s="1"/>
      <c r="F350" s="1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ht="15.75" customHeight="1" x14ac:dyDescent="0.25">
      <c r="A351" s="1"/>
      <c r="B351" s="1"/>
      <c r="C351" s="1"/>
      <c r="D351" s="1"/>
      <c r="E351" s="1"/>
      <c r="F351" s="1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ht="15.75" customHeight="1" x14ac:dyDescent="0.25">
      <c r="A352" s="1"/>
      <c r="B352" s="1"/>
      <c r="C352" s="1"/>
      <c r="D352" s="1"/>
      <c r="E352" s="1"/>
      <c r="F352" s="1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ht="15.75" customHeight="1" x14ac:dyDescent="0.25">
      <c r="A353" s="1"/>
      <c r="B353" s="1"/>
      <c r="C353" s="1"/>
      <c r="D353" s="1"/>
      <c r="E353" s="1"/>
      <c r="F353" s="1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ht="15.75" customHeight="1" x14ac:dyDescent="0.25">
      <c r="A354" s="1"/>
      <c r="B354" s="1"/>
      <c r="C354" s="1"/>
      <c r="D354" s="1"/>
      <c r="E354" s="1"/>
      <c r="F354" s="1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ht="15.75" customHeight="1" x14ac:dyDescent="0.25">
      <c r="A355" s="1"/>
      <c r="B355" s="1"/>
      <c r="C355" s="1"/>
      <c r="D355" s="1"/>
      <c r="E355" s="1"/>
      <c r="F355" s="1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ht="15.75" customHeight="1" x14ac:dyDescent="0.25">
      <c r="A356" s="1"/>
      <c r="B356" s="1"/>
      <c r="C356" s="1"/>
      <c r="D356" s="1"/>
      <c r="E356" s="1"/>
      <c r="F356" s="1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ht="15.75" customHeight="1" x14ac:dyDescent="0.25">
      <c r="A357" s="1"/>
      <c r="B357" s="1"/>
      <c r="C357" s="1"/>
      <c r="D357" s="1"/>
      <c r="E357" s="1"/>
      <c r="F357" s="1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ht="15.75" customHeight="1" x14ac:dyDescent="0.25">
      <c r="A358" s="1"/>
      <c r="B358" s="1"/>
      <c r="C358" s="1"/>
      <c r="D358" s="1"/>
      <c r="E358" s="1"/>
      <c r="F358" s="1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ht="15.75" customHeight="1" x14ac:dyDescent="0.25">
      <c r="A359" s="1"/>
      <c r="B359" s="1"/>
      <c r="C359" s="1"/>
      <c r="D359" s="1"/>
      <c r="E359" s="1"/>
      <c r="F359" s="1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ht="15.75" customHeight="1" x14ac:dyDescent="0.25">
      <c r="A360" s="1"/>
      <c r="B360" s="1"/>
      <c r="C360" s="1"/>
      <c r="D360" s="1"/>
      <c r="E360" s="1"/>
      <c r="F360" s="1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ht="15.75" customHeight="1" x14ac:dyDescent="0.25">
      <c r="A361" s="1"/>
      <c r="B361" s="1"/>
      <c r="C361" s="1"/>
      <c r="D361" s="1"/>
      <c r="E361" s="1"/>
      <c r="F361" s="1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ht="15.75" customHeight="1" x14ac:dyDescent="0.25">
      <c r="A362" s="1"/>
      <c r="B362" s="1"/>
      <c r="C362" s="1"/>
      <c r="D362" s="1"/>
      <c r="E362" s="1"/>
      <c r="F362" s="1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ht="15.75" customHeight="1" x14ac:dyDescent="0.25">
      <c r="A363" s="1"/>
      <c r="B363" s="1"/>
      <c r="C363" s="1"/>
      <c r="D363" s="1"/>
      <c r="E363" s="1"/>
      <c r="F363" s="1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ht="15.75" customHeight="1" x14ac:dyDescent="0.25">
      <c r="A364" s="1"/>
      <c r="B364" s="1"/>
      <c r="C364" s="1"/>
      <c r="D364" s="1"/>
      <c r="E364" s="1"/>
      <c r="F364" s="1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ht="15.75" customHeight="1" x14ac:dyDescent="0.25">
      <c r="A365" s="1"/>
      <c r="B365" s="1"/>
      <c r="C365" s="1"/>
      <c r="D365" s="1"/>
      <c r="E365" s="1"/>
      <c r="F365" s="1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ht="15.75" customHeight="1" x14ac:dyDescent="0.25">
      <c r="A366" s="1"/>
      <c r="B366" s="1"/>
      <c r="C366" s="1"/>
      <c r="D366" s="1"/>
      <c r="E366" s="1"/>
      <c r="F366" s="1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ht="15.75" customHeight="1" x14ac:dyDescent="0.25">
      <c r="A367" s="1"/>
      <c r="B367" s="1"/>
      <c r="C367" s="1"/>
      <c r="D367" s="1"/>
      <c r="E367" s="1"/>
      <c r="F367" s="1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ht="15.75" customHeight="1" x14ac:dyDescent="0.25">
      <c r="A368" s="1"/>
      <c r="B368" s="1"/>
      <c r="C368" s="1"/>
      <c r="D368" s="1"/>
      <c r="E368" s="1"/>
      <c r="F368" s="1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ht="15.75" customHeight="1" x14ac:dyDescent="0.25">
      <c r="A369" s="1"/>
      <c r="B369" s="1"/>
      <c r="C369" s="1"/>
      <c r="D369" s="1"/>
      <c r="E369" s="1"/>
      <c r="F369" s="1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ht="15.75" customHeight="1" x14ac:dyDescent="0.25">
      <c r="A370" s="1"/>
      <c r="B370" s="1"/>
      <c r="C370" s="1"/>
      <c r="D370" s="1"/>
      <c r="E370" s="1"/>
      <c r="F370" s="1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ht="15.75" customHeight="1" x14ac:dyDescent="0.25">
      <c r="A371" s="1"/>
      <c r="B371" s="1"/>
      <c r="C371" s="1"/>
      <c r="D371" s="1"/>
      <c r="E371" s="1"/>
      <c r="F371" s="1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ht="15.75" customHeight="1" x14ac:dyDescent="0.25">
      <c r="A372" s="1"/>
      <c r="B372" s="1"/>
      <c r="C372" s="1"/>
      <c r="D372" s="1"/>
      <c r="E372" s="1"/>
      <c r="F372" s="1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ht="15.75" customHeight="1" x14ac:dyDescent="0.25">
      <c r="A373" s="1"/>
      <c r="B373" s="1"/>
      <c r="C373" s="1"/>
      <c r="D373" s="1"/>
      <c r="E373" s="1"/>
      <c r="F373" s="1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ht="15.75" customHeight="1" x14ac:dyDescent="0.25">
      <c r="A374" s="1"/>
      <c r="B374" s="1"/>
      <c r="C374" s="1"/>
      <c r="D374" s="1"/>
      <c r="E374" s="1"/>
      <c r="F374" s="1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ht="15.75" customHeight="1" x14ac:dyDescent="0.25">
      <c r="A375" s="1"/>
      <c r="B375" s="1"/>
      <c r="C375" s="1"/>
      <c r="D375" s="1"/>
      <c r="E375" s="1"/>
      <c r="F375" s="1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ht="15.75" customHeight="1" x14ac:dyDescent="0.25">
      <c r="A376" s="1"/>
      <c r="B376" s="1"/>
      <c r="C376" s="1"/>
      <c r="D376" s="1"/>
      <c r="E376" s="1"/>
      <c r="F376" s="1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ht="15.75" customHeight="1" x14ac:dyDescent="0.25">
      <c r="A377" s="1"/>
      <c r="B377" s="1"/>
      <c r="C377" s="1"/>
      <c r="D377" s="1"/>
      <c r="E377" s="1"/>
      <c r="F377" s="1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ht="15.75" customHeight="1" x14ac:dyDescent="0.25">
      <c r="A378" s="1"/>
      <c r="B378" s="1"/>
      <c r="C378" s="1"/>
      <c r="D378" s="1"/>
      <c r="E378" s="1"/>
      <c r="F378" s="1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ht="15.75" customHeight="1" x14ac:dyDescent="0.25">
      <c r="A379" s="1"/>
      <c r="B379" s="1"/>
      <c r="C379" s="1"/>
      <c r="D379" s="1"/>
      <c r="E379" s="1"/>
      <c r="F379" s="1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ht="15.75" customHeight="1" x14ac:dyDescent="0.25">
      <c r="A380" s="1"/>
      <c r="B380" s="1"/>
      <c r="C380" s="1"/>
      <c r="D380" s="1"/>
      <c r="E380" s="1"/>
      <c r="F380" s="1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ht="15.75" customHeight="1" x14ac:dyDescent="0.25">
      <c r="A381" s="1"/>
      <c r="B381" s="1"/>
      <c r="C381" s="1"/>
      <c r="D381" s="1"/>
      <c r="E381" s="1"/>
      <c r="F381" s="1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ht="15.75" customHeight="1" x14ac:dyDescent="0.25">
      <c r="A382" s="1"/>
      <c r="B382" s="1"/>
      <c r="C382" s="1"/>
      <c r="D382" s="1"/>
      <c r="E382" s="1"/>
      <c r="F382" s="1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ht="15.75" customHeight="1" x14ac:dyDescent="0.25">
      <c r="A383" s="1"/>
      <c r="B383" s="1"/>
      <c r="C383" s="1"/>
      <c r="D383" s="1"/>
      <c r="E383" s="1"/>
      <c r="F383" s="1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ht="15.75" customHeight="1" x14ac:dyDescent="0.25">
      <c r="A384" s="1"/>
      <c r="B384" s="1"/>
      <c r="C384" s="1"/>
      <c r="D384" s="1"/>
      <c r="E384" s="1"/>
      <c r="F384" s="1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ht="15.75" customHeight="1" x14ac:dyDescent="0.25">
      <c r="A385" s="1"/>
      <c r="B385" s="1"/>
      <c r="C385" s="1"/>
      <c r="D385" s="1"/>
      <c r="E385" s="1"/>
      <c r="F385" s="1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ht="15.75" customHeight="1" x14ac:dyDescent="0.25">
      <c r="A386" s="1"/>
      <c r="B386" s="1"/>
      <c r="C386" s="1"/>
      <c r="D386" s="1"/>
      <c r="E386" s="1"/>
      <c r="F386" s="1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ht="15.75" customHeight="1" x14ac:dyDescent="0.25">
      <c r="A387" s="1"/>
      <c r="B387" s="1"/>
      <c r="C387" s="1"/>
      <c r="D387" s="1"/>
      <c r="E387" s="1"/>
      <c r="F387" s="1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ht="15.75" customHeight="1" x14ac:dyDescent="0.25">
      <c r="A388" s="1"/>
      <c r="B388" s="1"/>
      <c r="C388" s="1"/>
      <c r="D388" s="1"/>
      <c r="E388" s="1"/>
      <c r="F388" s="1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ht="15.75" customHeight="1" x14ac:dyDescent="0.25">
      <c r="A389" s="1"/>
      <c r="B389" s="1"/>
      <c r="C389" s="1"/>
      <c r="D389" s="1"/>
      <c r="E389" s="1"/>
      <c r="F389" s="1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ht="15.75" customHeight="1" x14ac:dyDescent="0.25">
      <c r="A390" s="1"/>
      <c r="B390" s="1"/>
      <c r="C390" s="1"/>
      <c r="D390" s="1"/>
      <c r="E390" s="1"/>
      <c r="F390" s="1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ht="15.75" customHeight="1" x14ac:dyDescent="0.25">
      <c r="A391" s="1"/>
      <c r="B391" s="1"/>
      <c r="C391" s="1"/>
      <c r="D391" s="1"/>
      <c r="E391" s="1"/>
      <c r="F391" s="1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ht="15.75" customHeight="1" x14ac:dyDescent="0.25">
      <c r="A392" s="1"/>
      <c r="B392" s="1"/>
      <c r="C392" s="1"/>
      <c r="D392" s="1"/>
      <c r="E392" s="1"/>
      <c r="F392" s="1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ht="15.75" customHeight="1" x14ac:dyDescent="0.25">
      <c r="A393" s="1"/>
      <c r="B393" s="1"/>
      <c r="C393" s="1"/>
      <c r="D393" s="1"/>
      <c r="E393" s="1"/>
      <c r="F393" s="1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ht="15.75" customHeight="1" x14ac:dyDescent="0.25">
      <c r="A394" s="1"/>
      <c r="B394" s="1"/>
      <c r="C394" s="1"/>
      <c r="D394" s="1"/>
      <c r="E394" s="1"/>
      <c r="F394" s="1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ht="15.75" customHeight="1" x14ac:dyDescent="0.25">
      <c r="A395" s="1"/>
      <c r="B395" s="1"/>
      <c r="C395" s="1"/>
      <c r="D395" s="1"/>
      <c r="E395" s="1"/>
      <c r="F395" s="1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ht="15.75" customHeight="1" x14ac:dyDescent="0.25">
      <c r="A396" s="1"/>
      <c r="B396" s="1"/>
      <c r="C396" s="1"/>
      <c r="D396" s="1"/>
      <c r="E396" s="1"/>
      <c r="F396" s="1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ht="15.75" customHeight="1" x14ac:dyDescent="0.25">
      <c r="A397" s="1"/>
      <c r="B397" s="1"/>
      <c r="C397" s="1"/>
      <c r="D397" s="1"/>
      <c r="E397" s="1"/>
      <c r="F397" s="1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ht="15.75" customHeight="1" x14ac:dyDescent="0.25">
      <c r="A398" s="1"/>
      <c r="B398" s="1"/>
      <c r="C398" s="1"/>
      <c r="D398" s="1"/>
      <c r="E398" s="1"/>
      <c r="F398" s="1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ht="15.75" customHeight="1" x14ac:dyDescent="0.25">
      <c r="A399" s="1"/>
      <c r="B399" s="1"/>
      <c r="C399" s="1"/>
      <c r="D399" s="1"/>
      <c r="E399" s="1"/>
      <c r="F399" s="1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ht="15.75" customHeight="1" x14ac:dyDescent="0.25">
      <c r="A400" s="1"/>
      <c r="B400" s="1"/>
      <c r="C400" s="1"/>
      <c r="D400" s="1"/>
      <c r="E400" s="1"/>
      <c r="F400" s="1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ht="15.75" customHeight="1" x14ac:dyDescent="0.25">
      <c r="A401" s="1"/>
      <c r="B401" s="1"/>
      <c r="C401" s="1"/>
      <c r="D401" s="1"/>
      <c r="E401" s="1"/>
      <c r="F401" s="1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ht="15.75" customHeight="1" x14ac:dyDescent="0.25">
      <c r="A402" s="1"/>
      <c r="B402" s="1"/>
      <c r="C402" s="1"/>
      <c r="D402" s="1"/>
      <c r="E402" s="1"/>
      <c r="F402" s="1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ht="15.75" customHeight="1" x14ac:dyDescent="0.25">
      <c r="A403" s="1"/>
      <c r="B403" s="1"/>
      <c r="C403" s="1"/>
      <c r="D403" s="1"/>
      <c r="E403" s="1"/>
      <c r="F403" s="1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ht="15.75" customHeight="1" x14ac:dyDescent="0.25">
      <c r="A404" s="1"/>
      <c r="B404" s="1"/>
      <c r="C404" s="1"/>
      <c r="D404" s="1"/>
      <c r="E404" s="1"/>
      <c r="F404" s="1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ht="15.75" customHeight="1" x14ac:dyDescent="0.25">
      <c r="A405" s="1"/>
      <c r="B405" s="1"/>
      <c r="C405" s="1"/>
      <c r="D405" s="1"/>
      <c r="E405" s="1"/>
      <c r="F405" s="1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ht="15.75" customHeight="1" x14ac:dyDescent="0.25">
      <c r="A406" s="1"/>
      <c r="B406" s="1"/>
      <c r="C406" s="1"/>
      <c r="D406" s="1"/>
      <c r="E406" s="1"/>
      <c r="F406" s="1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ht="15.75" customHeight="1" x14ac:dyDescent="0.25">
      <c r="A407" s="1"/>
      <c r="B407" s="1"/>
      <c r="C407" s="1"/>
      <c r="D407" s="1"/>
      <c r="E407" s="1"/>
      <c r="F407" s="1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ht="15.75" customHeight="1" x14ac:dyDescent="0.25">
      <c r="A408" s="1"/>
      <c r="B408" s="1"/>
      <c r="C408" s="1"/>
      <c r="D408" s="1"/>
      <c r="E408" s="1"/>
      <c r="F408" s="1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ht="15.75" customHeight="1" x14ac:dyDescent="0.25">
      <c r="A409" s="1"/>
      <c r="B409" s="1"/>
      <c r="C409" s="1"/>
      <c r="D409" s="1"/>
      <c r="E409" s="1"/>
      <c r="F409" s="1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ht="15.75" customHeight="1" x14ac:dyDescent="0.25">
      <c r="A410" s="1"/>
      <c r="B410" s="1"/>
      <c r="C410" s="1"/>
      <c r="D410" s="1"/>
      <c r="E410" s="1"/>
      <c r="F410" s="1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ht="15.75" customHeight="1" x14ac:dyDescent="0.25">
      <c r="A411" s="1"/>
      <c r="B411" s="1"/>
      <c r="C411" s="1"/>
      <c r="D411" s="1"/>
      <c r="E411" s="1"/>
      <c r="F411" s="1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ht="15.75" customHeight="1" x14ac:dyDescent="0.25">
      <c r="A412" s="1"/>
      <c r="B412" s="1"/>
      <c r="C412" s="1"/>
      <c r="D412" s="1"/>
      <c r="E412" s="1"/>
      <c r="F412" s="1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ht="15.75" customHeight="1" x14ac:dyDescent="0.25">
      <c r="A413" s="1"/>
      <c r="B413" s="1"/>
      <c r="C413" s="1"/>
      <c r="D413" s="1"/>
      <c r="E413" s="1"/>
      <c r="F413" s="1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ht="15.75" customHeight="1" x14ac:dyDescent="0.25">
      <c r="A414" s="1"/>
      <c r="B414" s="1"/>
      <c r="C414" s="1"/>
      <c r="D414" s="1"/>
      <c r="E414" s="1"/>
      <c r="F414" s="1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ht="15.75" customHeight="1" x14ac:dyDescent="0.25">
      <c r="A415" s="1"/>
      <c r="B415" s="1"/>
      <c r="C415" s="1"/>
      <c r="D415" s="1"/>
      <c r="E415" s="1"/>
      <c r="F415" s="1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ht="15.75" customHeight="1" x14ac:dyDescent="0.25">
      <c r="A416" s="1"/>
      <c r="B416" s="1"/>
      <c r="C416" s="1"/>
      <c r="D416" s="1"/>
      <c r="E416" s="1"/>
      <c r="F416" s="1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ht="15.75" customHeight="1" x14ac:dyDescent="0.25">
      <c r="A417" s="1"/>
      <c r="B417" s="1"/>
      <c r="C417" s="1"/>
      <c r="D417" s="1"/>
      <c r="E417" s="1"/>
      <c r="F417" s="1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ht="15.75" customHeight="1" x14ac:dyDescent="0.25">
      <c r="A418" s="1"/>
      <c r="B418" s="1"/>
      <c r="C418" s="1"/>
      <c r="D418" s="1"/>
      <c r="E418" s="1"/>
      <c r="F418" s="1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ht="15.75" customHeight="1" x14ac:dyDescent="0.25">
      <c r="A419" s="1"/>
      <c r="B419" s="1"/>
      <c r="C419" s="1"/>
      <c r="D419" s="1"/>
      <c r="E419" s="1"/>
      <c r="F419" s="1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ht="15.75" customHeight="1" x14ac:dyDescent="0.25">
      <c r="A420" s="1"/>
      <c r="B420" s="1"/>
      <c r="C420" s="1"/>
      <c r="D420" s="1"/>
      <c r="E420" s="1"/>
      <c r="F420" s="1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ht="15.75" customHeight="1" x14ac:dyDescent="0.25">
      <c r="A421" s="1"/>
      <c r="B421" s="1"/>
      <c r="C421" s="1"/>
      <c r="D421" s="1"/>
      <c r="E421" s="1"/>
      <c r="F421" s="1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ht="15.75" customHeight="1" x14ac:dyDescent="0.25">
      <c r="A422" s="1"/>
      <c r="B422" s="1"/>
      <c r="C422" s="1"/>
      <c r="D422" s="1"/>
      <c r="E422" s="1"/>
      <c r="F422" s="1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ht="15.75" customHeight="1" x14ac:dyDescent="0.25">
      <c r="A423" s="1"/>
      <c r="B423" s="1"/>
      <c r="C423" s="1"/>
      <c r="D423" s="1"/>
      <c r="E423" s="1"/>
      <c r="F423" s="1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ht="15.75" customHeight="1" x14ac:dyDescent="0.25">
      <c r="A424" s="1"/>
      <c r="B424" s="1"/>
      <c r="C424" s="1"/>
      <c r="D424" s="1"/>
      <c r="E424" s="1"/>
      <c r="F424" s="1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ht="15.75" customHeight="1" x14ac:dyDescent="0.25">
      <c r="A425" s="1"/>
      <c r="B425" s="1"/>
      <c r="C425" s="1"/>
      <c r="D425" s="1"/>
      <c r="E425" s="1"/>
      <c r="F425" s="1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ht="15.75" customHeight="1" x14ac:dyDescent="0.25">
      <c r="A426" s="1"/>
      <c r="B426" s="1"/>
      <c r="C426" s="1"/>
      <c r="D426" s="1"/>
      <c r="E426" s="1"/>
      <c r="F426" s="1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ht="15.75" customHeight="1" x14ac:dyDescent="0.25">
      <c r="A427" s="1"/>
      <c r="B427" s="1"/>
      <c r="C427" s="1"/>
      <c r="D427" s="1"/>
      <c r="E427" s="1"/>
      <c r="F427" s="1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ht="15.75" customHeight="1" x14ac:dyDescent="0.25">
      <c r="A428" s="1"/>
      <c r="B428" s="1"/>
      <c r="C428" s="1"/>
      <c r="D428" s="1"/>
      <c r="E428" s="1"/>
      <c r="F428" s="1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ht="15.75" customHeight="1" x14ac:dyDescent="0.25">
      <c r="A429" s="1"/>
      <c r="B429" s="1"/>
      <c r="C429" s="1"/>
      <c r="D429" s="1"/>
      <c r="E429" s="1"/>
      <c r="F429" s="1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ht="15.75" customHeight="1" x14ac:dyDescent="0.25">
      <c r="A430" s="1"/>
      <c r="B430" s="1"/>
      <c r="C430" s="1"/>
      <c r="D430" s="1"/>
      <c r="E430" s="1"/>
      <c r="F430" s="1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ht="15.75" customHeight="1" x14ac:dyDescent="0.25">
      <c r="A431" s="1"/>
      <c r="B431" s="1"/>
      <c r="C431" s="1"/>
      <c r="D431" s="1"/>
      <c r="E431" s="1"/>
      <c r="F431" s="1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ht="15.75" customHeight="1" x14ac:dyDescent="0.25">
      <c r="A432" s="1"/>
      <c r="B432" s="1"/>
      <c r="C432" s="1"/>
      <c r="D432" s="1"/>
      <c r="E432" s="1"/>
      <c r="F432" s="1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ht="15.75" customHeight="1" x14ac:dyDescent="0.25">
      <c r="A433" s="1"/>
      <c r="B433" s="1"/>
      <c r="C433" s="1"/>
      <c r="D433" s="1"/>
      <c r="E433" s="1"/>
      <c r="F433" s="1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ht="15.75" customHeight="1" x14ac:dyDescent="0.25">
      <c r="A434" s="1"/>
      <c r="B434" s="1"/>
      <c r="C434" s="1"/>
      <c r="D434" s="1"/>
      <c r="E434" s="1"/>
      <c r="F434" s="1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ht="15.75" customHeight="1" x14ac:dyDescent="0.25">
      <c r="A435" s="1"/>
      <c r="B435" s="1"/>
      <c r="C435" s="1"/>
      <c r="D435" s="1"/>
      <c r="E435" s="1"/>
      <c r="F435" s="1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ht="15.75" customHeight="1" x14ac:dyDescent="0.25">
      <c r="A436" s="1"/>
      <c r="B436" s="1"/>
      <c r="C436" s="1"/>
      <c r="D436" s="1"/>
      <c r="E436" s="1"/>
      <c r="F436" s="1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ht="15.75" customHeight="1" x14ac:dyDescent="0.25">
      <c r="A437" s="1"/>
      <c r="B437" s="1"/>
      <c r="C437" s="1"/>
      <c r="D437" s="1"/>
      <c r="E437" s="1"/>
      <c r="F437" s="1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ht="15.75" customHeight="1" x14ac:dyDescent="0.25">
      <c r="A438" s="1"/>
      <c r="B438" s="1"/>
      <c r="C438" s="1"/>
      <c r="D438" s="1"/>
      <c r="E438" s="1"/>
      <c r="F438" s="1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ht="15.75" customHeight="1" x14ac:dyDescent="0.25">
      <c r="A439" s="1"/>
      <c r="B439" s="1"/>
      <c r="C439" s="1"/>
      <c r="D439" s="1"/>
      <c r="E439" s="1"/>
      <c r="F439" s="1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ht="15.75" customHeight="1" x14ac:dyDescent="0.25">
      <c r="A440" s="1"/>
      <c r="B440" s="1"/>
      <c r="C440" s="1"/>
      <c r="D440" s="1"/>
      <c r="E440" s="1"/>
      <c r="F440" s="1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ht="15.75" customHeight="1" x14ac:dyDescent="0.25">
      <c r="A441" s="1"/>
      <c r="B441" s="1"/>
      <c r="C441" s="1"/>
      <c r="D441" s="1"/>
      <c r="E441" s="1"/>
      <c r="F441" s="1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ht="15.75" customHeight="1" x14ac:dyDescent="0.25">
      <c r="A442" s="1"/>
      <c r="B442" s="1"/>
      <c r="C442" s="1"/>
      <c r="D442" s="1"/>
      <c r="E442" s="1"/>
      <c r="F442" s="1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ht="15.75" customHeight="1" x14ac:dyDescent="0.25">
      <c r="A443" s="1"/>
      <c r="B443" s="1"/>
      <c r="C443" s="1"/>
      <c r="D443" s="1"/>
      <c r="E443" s="1"/>
      <c r="F443" s="1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ht="15.75" customHeight="1" x14ac:dyDescent="0.25">
      <c r="A444" s="1"/>
      <c r="B444" s="1"/>
      <c r="C444" s="1"/>
      <c r="D444" s="1"/>
      <c r="E444" s="1"/>
      <c r="F444" s="1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ht="15.75" customHeight="1" x14ac:dyDescent="0.25">
      <c r="A445" s="1"/>
      <c r="B445" s="1"/>
      <c r="C445" s="1"/>
      <c r="D445" s="1"/>
      <c r="E445" s="1"/>
      <c r="F445" s="1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ht="15.75" customHeight="1" x14ac:dyDescent="0.25">
      <c r="A446" s="1"/>
      <c r="B446" s="1"/>
      <c r="C446" s="1"/>
      <c r="D446" s="1"/>
      <c r="E446" s="1"/>
      <c r="F446" s="1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ht="15.75" customHeight="1" x14ac:dyDescent="0.25">
      <c r="A447" s="1"/>
      <c r="B447" s="1"/>
      <c r="C447" s="1"/>
      <c r="D447" s="1"/>
      <c r="E447" s="1"/>
      <c r="F447" s="1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ht="15.75" customHeight="1" x14ac:dyDescent="0.25">
      <c r="A448" s="1"/>
      <c r="B448" s="1"/>
      <c r="C448" s="1"/>
      <c r="D448" s="1"/>
      <c r="E448" s="1"/>
      <c r="F448" s="1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ht="15.75" customHeight="1" x14ac:dyDescent="0.25">
      <c r="A449" s="1"/>
      <c r="B449" s="1"/>
      <c r="C449" s="1"/>
      <c r="D449" s="1"/>
      <c r="E449" s="1"/>
      <c r="F449" s="1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ht="15.75" customHeight="1" x14ac:dyDescent="0.25">
      <c r="A450" s="1"/>
      <c r="B450" s="1"/>
      <c r="C450" s="1"/>
      <c r="D450" s="1"/>
      <c r="E450" s="1"/>
      <c r="F450" s="1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ht="15.75" customHeight="1" x14ac:dyDescent="0.25">
      <c r="A451" s="1"/>
      <c r="B451" s="1"/>
      <c r="C451" s="1"/>
      <c r="D451" s="1"/>
      <c r="E451" s="1"/>
      <c r="F451" s="1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ht="15.75" customHeight="1" x14ac:dyDescent="0.25">
      <c r="A452" s="1"/>
      <c r="B452" s="1"/>
      <c r="C452" s="1"/>
      <c r="D452" s="1"/>
      <c r="E452" s="1"/>
      <c r="F452" s="1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ht="15.75" customHeight="1" x14ac:dyDescent="0.25">
      <c r="A453" s="1"/>
      <c r="B453" s="1"/>
      <c r="C453" s="1"/>
      <c r="D453" s="1"/>
      <c r="E453" s="1"/>
      <c r="F453" s="1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ht="15.75" customHeight="1" x14ac:dyDescent="0.25">
      <c r="A454" s="1"/>
      <c r="B454" s="1"/>
      <c r="C454" s="1"/>
      <c r="D454" s="1"/>
      <c r="E454" s="1"/>
      <c r="F454" s="1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ht="15.75" customHeight="1" x14ac:dyDescent="0.25">
      <c r="A455" s="1"/>
      <c r="B455" s="1"/>
      <c r="C455" s="1"/>
      <c r="D455" s="1"/>
      <c r="E455" s="1"/>
      <c r="F455" s="1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ht="15.75" customHeight="1" x14ac:dyDescent="0.25">
      <c r="A456" s="1"/>
      <c r="B456" s="1"/>
      <c r="C456" s="1"/>
      <c r="D456" s="1"/>
      <c r="E456" s="1"/>
      <c r="F456" s="1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ht="15.75" customHeight="1" x14ac:dyDescent="0.25">
      <c r="A457" s="1"/>
      <c r="B457" s="1"/>
      <c r="C457" s="1"/>
      <c r="D457" s="1"/>
      <c r="E457" s="1"/>
      <c r="F457" s="1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ht="15.75" customHeight="1" x14ac:dyDescent="0.25">
      <c r="A458" s="1"/>
      <c r="B458" s="1"/>
      <c r="C458" s="1"/>
      <c r="D458" s="1"/>
      <c r="E458" s="1"/>
      <c r="F458" s="1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ht="15.75" customHeight="1" x14ac:dyDescent="0.25">
      <c r="A459" s="1"/>
      <c r="B459" s="1"/>
      <c r="C459" s="1"/>
      <c r="D459" s="1"/>
      <c r="E459" s="1"/>
      <c r="F459" s="1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ht="15.75" customHeight="1" x14ac:dyDescent="0.25">
      <c r="A460" s="1"/>
      <c r="B460" s="1"/>
      <c r="C460" s="1"/>
      <c r="D460" s="1"/>
      <c r="E460" s="1"/>
      <c r="F460" s="1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ht="15.75" customHeight="1" x14ac:dyDescent="0.25">
      <c r="A461" s="1"/>
      <c r="B461" s="1"/>
      <c r="C461" s="1"/>
      <c r="D461" s="1"/>
      <c r="E461" s="1"/>
      <c r="F461" s="1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ht="15.75" customHeight="1" x14ac:dyDescent="0.25">
      <c r="A462" s="1"/>
      <c r="B462" s="1"/>
      <c r="C462" s="1"/>
      <c r="D462" s="1"/>
      <c r="E462" s="1"/>
      <c r="F462" s="1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ht="15.75" customHeight="1" x14ac:dyDescent="0.25">
      <c r="A463" s="1"/>
      <c r="B463" s="1"/>
      <c r="C463" s="1"/>
      <c r="D463" s="1"/>
      <c r="E463" s="1"/>
      <c r="F463" s="1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ht="15.75" customHeight="1" x14ac:dyDescent="0.25">
      <c r="A464" s="1"/>
      <c r="B464" s="1"/>
      <c r="C464" s="1"/>
      <c r="D464" s="1"/>
      <c r="E464" s="1"/>
      <c r="F464" s="1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ht="15.75" customHeight="1" x14ac:dyDescent="0.25">
      <c r="A465" s="1"/>
      <c r="B465" s="1"/>
      <c r="C465" s="1"/>
      <c r="D465" s="1"/>
      <c r="E465" s="1"/>
      <c r="F465" s="1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ht="15.75" customHeight="1" x14ac:dyDescent="0.25">
      <c r="A466" s="1"/>
      <c r="B466" s="1"/>
      <c r="C466" s="1"/>
      <c r="D466" s="1"/>
      <c r="E466" s="1"/>
      <c r="F466" s="1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ht="15.75" customHeight="1" x14ac:dyDescent="0.25">
      <c r="A467" s="1"/>
      <c r="B467" s="1"/>
      <c r="C467" s="1"/>
      <c r="D467" s="1"/>
      <c r="E467" s="1"/>
      <c r="F467" s="1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ht="15.75" customHeight="1" x14ac:dyDescent="0.25">
      <c r="A468" s="1"/>
      <c r="B468" s="1"/>
      <c r="C468" s="1"/>
      <c r="D468" s="1"/>
      <c r="E468" s="1"/>
      <c r="F468" s="1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ht="15.75" customHeight="1" x14ac:dyDescent="0.25">
      <c r="A469" s="1"/>
      <c r="B469" s="1"/>
      <c r="C469" s="1"/>
      <c r="D469" s="1"/>
      <c r="E469" s="1"/>
      <c r="F469" s="1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ht="15.75" customHeight="1" x14ac:dyDescent="0.25">
      <c r="A470" s="1"/>
      <c r="B470" s="1"/>
      <c r="C470" s="1"/>
      <c r="D470" s="1"/>
      <c r="E470" s="1"/>
      <c r="F470" s="1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ht="15.75" customHeight="1" x14ac:dyDescent="0.25">
      <c r="A471" s="1"/>
      <c r="B471" s="1"/>
      <c r="C471" s="1"/>
      <c r="D471" s="1"/>
      <c r="E471" s="1"/>
      <c r="F471" s="1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ht="15.75" customHeight="1" x14ac:dyDescent="0.25">
      <c r="A472" s="1"/>
      <c r="B472" s="1"/>
      <c r="C472" s="1"/>
      <c r="D472" s="1"/>
      <c r="E472" s="1"/>
      <c r="F472" s="1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ht="15.75" customHeight="1" x14ac:dyDescent="0.25">
      <c r="A473" s="1"/>
      <c r="B473" s="1"/>
      <c r="C473" s="1"/>
      <c r="D473" s="1"/>
      <c r="E473" s="1"/>
      <c r="F473" s="1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ht="15.75" customHeight="1" x14ac:dyDescent="0.25">
      <c r="A474" s="1"/>
      <c r="B474" s="1"/>
      <c r="C474" s="1"/>
      <c r="D474" s="1"/>
      <c r="E474" s="1"/>
      <c r="F474" s="1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ht="15.75" customHeight="1" x14ac:dyDescent="0.25">
      <c r="A475" s="1"/>
      <c r="B475" s="1"/>
      <c r="C475" s="1"/>
      <c r="D475" s="1"/>
      <c r="E475" s="1"/>
      <c r="F475" s="1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ht="15.75" customHeight="1" x14ac:dyDescent="0.25">
      <c r="A476" s="1"/>
      <c r="B476" s="1"/>
      <c r="C476" s="1"/>
      <c r="D476" s="1"/>
      <c r="E476" s="1"/>
      <c r="F476" s="1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ht="15.75" customHeight="1" x14ac:dyDescent="0.25">
      <c r="A477" s="1"/>
      <c r="B477" s="1"/>
      <c r="C477" s="1"/>
      <c r="D477" s="1"/>
      <c r="E477" s="1"/>
      <c r="F477" s="1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ht="15.75" customHeight="1" x14ac:dyDescent="0.25">
      <c r="A478" s="1"/>
      <c r="B478" s="1"/>
      <c r="C478" s="1"/>
      <c r="D478" s="1"/>
      <c r="E478" s="1"/>
      <c r="F478" s="1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ht="15.75" customHeight="1" x14ac:dyDescent="0.25">
      <c r="A479" s="1"/>
      <c r="B479" s="1"/>
      <c r="C479" s="1"/>
      <c r="D479" s="1"/>
      <c r="E479" s="1"/>
      <c r="F479" s="1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ht="15.75" customHeight="1" x14ac:dyDescent="0.25">
      <c r="A480" s="1"/>
      <c r="B480" s="1"/>
      <c r="C480" s="1"/>
      <c r="D480" s="1"/>
      <c r="E480" s="1"/>
      <c r="F480" s="1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ht="15.75" customHeight="1" x14ac:dyDescent="0.25">
      <c r="A481" s="1"/>
      <c r="B481" s="1"/>
      <c r="C481" s="1"/>
      <c r="D481" s="1"/>
      <c r="E481" s="1"/>
      <c r="F481" s="1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ht="15.75" customHeight="1" x14ac:dyDescent="0.25">
      <c r="A482" s="1"/>
      <c r="B482" s="1"/>
      <c r="C482" s="1"/>
      <c r="D482" s="1"/>
      <c r="E482" s="1"/>
      <c r="F482" s="1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ht="15.75" customHeight="1" x14ac:dyDescent="0.25">
      <c r="A483" s="1"/>
      <c r="B483" s="1"/>
      <c r="C483" s="1"/>
      <c r="D483" s="1"/>
      <c r="E483" s="1"/>
      <c r="F483" s="1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ht="15.75" customHeight="1" x14ac:dyDescent="0.25">
      <c r="A484" s="1"/>
      <c r="B484" s="1"/>
      <c r="C484" s="1"/>
      <c r="D484" s="1"/>
      <c r="E484" s="1"/>
      <c r="F484" s="1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ht="15.75" customHeight="1" x14ac:dyDescent="0.25">
      <c r="A485" s="1"/>
      <c r="B485" s="1"/>
      <c r="C485" s="1"/>
      <c r="D485" s="1"/>
      <c r="E485" s="1"/>
      <c r="F485" s="1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ht="15.75" customHeight="1" x14ac:dyDescent="0.25">
      <c r="A486" s="1"/>
      <c r="B486" s="1"/>
      <c r="C486" s="1"/>
      <c r="D486" s="1"/>
      <c r="E486" s="1"/>
      <c r="F486" s="1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ht="15.75" customHeight="1" x14ac:dyDescent="0.25">
      <c r="A487" s="1"/>
      <c r="B487" s="1"/>
      <c r="C487" s="1"/>
      <c r="D487" s="1"/>
      <c r="E487" s="1"/>
      <c r="F487" s="1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ht="15.75" customHeight="1" x14ac:dyDescent="0.25">
      <c r="A488" s="1"/>
      <c r="B488" s="1"/>
      <c r="C488" s="1"/>
      <c r="D488" s="1"/>
      <c r="E488" s="1"/>
      <c r="F488" s="1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ht="15.75" customHeight="1" x14ac:dyDescent="0.25">
      <c r="A489" s="1"/>
      <c r="B489" s="1"/>
      <c r="C489" s="1"/>
      <c r="D489" s="1"/>
      <c r="E489" s="1"/>
      <c r="F489" s="1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ht="15.75" customHeight="1" x14ac:dyDescent="0.25">
      <c r="A490" s="1"/>
      <c r="B490" s="1"/>
      <c r="C490" s="1"/>
      <c r="D490" s="1"/>
      <c r="E490" s="1"/>
      <c r="F490" s="1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ht="15.75" customHeight="1" x14ac:dyDescent="0.25">
      <c r="A491" s="1"/>
      <c r="B491" s="1"/>
      <c r="C491" s="1"/>
      <c r="D491" s="1"/>
      <c r="E491" s="1"/>
      <c r="F491" s="1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ht="15.75" customHeight="1" x14ac:dyDescent="0.25">
      <c r="A492" s="1"/>
      <c r="B492" s="1"/>
      <c r="C492" s="1"/>
      <c r="D492" s="1"/>
      <c r="E492" s="1"/>
      <c r="F492" s="1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ht="15.75" customHeight="1" x14ac:dyDescent="0.25">
      <c r="A493" s="1"/>
      <c r="B493" s="1"/>
      <c r="C493" s="1"/>
      <c r="D493" s="1"/>
      <c r="E493" s="1"/>
      <c r="F493" s="1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ht="15.75" customHeight="1" x14ac:dyDescent="0.25">
      <c r="A494" s="1"/>
      <c r="B494" s="1"/>
      <c r="C494" s="1"/>
      <c r="D494" s="1"/>
      <c r="E494" s="1"/>
      <c r="F494" s="1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ht="15.75" customHeight="1" x14ac:dyDescent="0.25">
      <c r="A495" s="1"/>
      <c r="B495" s="1"/>
      <c r="C495" s="1"/>
      <c r="D495" s="1"/>
      <c r="E495" s="1"/>
      <c r="F495" s="1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ht="15.75" customHeight="1" x14ac:dyDescent="0.25">
      <c r="A496" s="1"/>
      <c r="B496" s="1"/>
      <c r="C496" s="1"/>
      <c r="D496" s="1"/>
      <c r="E496" s="1"/>
      <c r="F496" s="1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ht="15.75" customHeight="1" x14ac:dyDescent="0.25">
      <c r="A497" s="1"/>
      <c r="B497" s="1"/>
      <c r="C497" s="1"/>
      <c r="D497" s="1"/>
      <c r="E497" s="1"/>
      <c r="F497" s="1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ht="15.75" customHeight="1" x14ac:dyDescent="0.25">
      <c r="A498" s="1"/>
      <c r="B498" s="1"/>
      <c r="C498" s="1"/>
      <c r="D498" s="1"/>
      <c r="E498" s="1"/>
      <c r="F498" s="1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ht="15.75" customHeight="1" x14ac:dyDescent="0.25">
      <c r="A499" s="1"/>
      <c r="B499" s="1"/>
      <c r="C499" s="1"/>
      <c r="D499" s="1"/>
      <c r="E499" s="1"/>
      <c r="F499" s="1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ht="15.75" customHeight="1" x14ac:dyDescent="0.25">
      <c r="A500" s="1"/>
      <c r="B500" s="1"/>
      <c r="C500" s="1"/>
      <c r="D500" s="1"/>
      <c r="E500" s="1"/>
      <c r="F500" s="1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ht="15.75" customHeight="1" x14ac:dyDescent="0.25">
      <c r="A501" s="1"/>
      <c r="B501" s="1"/>
      <c r="C501" s="1"/>
      <c r="D501" s="1"/>
      <c r="E501" s="1"/>
      <c r="F501" s="1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ht="15.75" customHeight="1" x14ac:dyDescent="0.25">
      <c r="A502" s="1"/>
      <c r="B502" s="1"/>
      <c r="C502" s="1"/>
      <c r="D502" s="1"/>
      <c r="E502" s="1"/>
      <c r="F502" s="1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ht="15.75" customHeight="1" x14ac:dyDescent="0.25">
      <c r="A503" s="1"/>
      <c r="B503" s="1"/>
      <c r="C503" s="1"/>
      <c r="D503" s="1"/>
      <c r="E503" s="1"/>
      <c r="F503" s="1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ht="15.75" customHeight="1" x14ac:dyDescent="0.25">
      <c r="A504" s="1"/>
      <c r="B504" s="1"/>
      <c r="C504" s="1"/>
      <c r="D504" s="1"/>
      <c r="E504" s="1"/>
      <c r="F504" s="1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ht="15.75" customHeight="1" x14ac:dyDescent="0.25">
      <c r="A505" s="1"/>
      <c r="B505" s="1"/>
      <c r="C505" s="1"/>
      <c r="D505" s="1"/>
      <c r="E505" s="1"/>
      <c r="F505" s="1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ht="15.75" customHeight="1" x14ac:dyDescent="0.25">
      <c r="A506" s="1"/>
      <c r="B506" s="1"/>
      <c r="C506" s="1"/>
      <c r="D506" s="1"/>
      <c r="E506" s="1"/>
      <c r="F506" s="1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ht="15.75" customHeight="1" x14ac:dyDescent="0.25">
      <c r="A507" s="1"/>
      <c r="B507" s="1"/>
      <c r="C507" s="1"/>
      <c r="D507" s="1"/>
      <c r="E507" s="1"/>
      <c r="F507" s="1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ht="15.75" customHeight="1" x14ac:dyDescent="0.25">
      <c r="A508" s="1"/>
      <c r="B508" s="1"/>
      <c r="C508" s="1"/>
      <c r="D508" s="1"/>
      <c r="E508" s="1"/>
      <c r="F508" s="1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ht="15.75" customHeight="1" x14ac:dyDescent="0.25">
      <c r="A509" s="1"/>
      <c r="B509" s="1"/>
      <c r="C509" s="1"/>
      <c r="D509" s="1"/>
      <c r="E509" s="1"/>
      <c r="F509" s="1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ht="15.75" customHeight="1" x14ac:dyDescent="0.25">
      <c r="A510" s="1"/>
      <c r="B510" s="1"/>
      <c r="C510" s="1"/>
      <c r="D510" s="1"/>
      <c r="E510" s="1"/>
      <c r="F510" s="1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ht="15.75" customHeight="1" x14ac:dyDescent="0.25">
      <c r="A511" s="1"/>
      <c r="B511" s="1"/>
      <c r="C511" s="1"/>
      <c r="D511" s="1"/>
      <c r="E511" s="1"/>
      <c r="F511" s="1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ht="15.75" customHeight="1" x14ac:dyDescent="0.25">
      <c r="A512" s="1"/>
      <c r="B512" s="1"/>
      <c r="C512" s="1"/>
      <c r="D512" s="1"/>
      <c r="E512" s="1"/>
      <c r="F512" s="1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ht="15.75" customHeight="1" x14ac:dyDescent="0.25">
      <c r="A513" s="1"/>
      <c r="B513" s="1"/>
      <c r="C513" s="1"/>
      <c r="D513" s="1"/>
      <c r="E513" s="1"/>
      <c r="F513" s="1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ht="15.75" customHeight="1" x14ac:dyDescent="0.25">
      <c r="A514" s="1"/>
      <c r="B514" s="1"/>
      <c r="C514" s="1"/>
      <c r="D514" s="1"/>
      <c r="E514" s="1"/>
      <c r="F514" s="1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ht="15.75" customHeight="1" x14ac:dyDescent="0.25">
      <c r="A515" s="1"/>
      <c r="B515" s="1"/>
      <c r="C515" s="1"/>
      <c r="D515" s="1"/>
      <c r="E515" s="1"/>
      <c r="F515" s="1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ht="15.75" customHeight="1" x14ac:dyDescent="0.25">
      <c r="A516" s="1"/>
      <c r="B516" s="1"/>
      <c r="C516" s="1"/>
      <c r="D516" s="1"/>
      <c r="E516" s="1"/>
      <c r="F516" s="1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ht="15.75" customHeight="1" x14ac:dyDescent="0.25">
      <c r="A517" s="1"/>
      <c r="B517" s="1"/>
      <c r="C517" s="1"/>
      <c r="D517" s="1"/>
      <c r="E517" s="1"/>
      <c r="F517" s="1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ht="15.75" customHeight="1" x14ac:dyDescent="0.25">
      <c r="A518" s="1"/>
      <c r="B518" s="1"/>
      <c r="C518" s="1"/>
      <c r="D518" s="1"/>
      <c r="E518" s="1"/>
      <c r="F518" s="1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ht="15.75" customHeight="1" x14ac:dyDescent="0.25">
      <c r="A519" s="1"/>
      <c r="B519" s="1"/>
      <c r="C519" s="1"/>
      <c r="D519" s="1"/>
      <c r="E519" s="1"/>
      <c r="F519" s="1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ht="15.75" customHeight="1" x14ac:dyDescent="0.25">
      <c r="A520" s="1"/>
      <c r="B520" s="1"/>
      <c r="C520" s="1"/>
      <c r="D520" s="1"/>
      <c r="E520" s="1"/>
      <c r="F520" s="1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ht="15.75" customHeight="1" x14ac:dyDescent="0.25">
      <c r="A521" s="1"/>
      <c r="B521" s="1"/>
      <c r="C521" s="1"/>
      <c r="D521" s="1"/>
      <c r="E521" s="1"/>
      <c r="F521" s="1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ht="15.75" customHeight="1" x14ac:dyDescent="0.25">
      <c r="A522" s="1"/>
      <c r="B522" s="1"/>
      <c r="C522" s="1"/>
      <c r="D522" s="1"/>
      <c r="E522" s="1"/>
      <c r="F522" s="1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ht="15.75" customHeight="1" x14ac:dyDescent="0.25">
      <c r="A523" s="1"/>
      <c r="B523" s="1"/>
      <c r="C523" s="1"/>
      <c r="D523" s="1"/>
      <c r="E523" s="1"/>
      <c r="F523" s="1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ht="15.75" customHeight="1" x14ac:dyDescent="0.25">
      <c r="A524" s="1"/>
      <c r="B524" s="1"/>
      <c r="C524" s="1"/>
      <c r="D524" s="1"/>
      <c r="E524" s="1"/>
      <c r="F524" s="1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ht="15.75" customHeight="1" x14ac:dyDescent="0.25">
      <c r="A525" s="1"/>
      <c r="B525" s="1"/>
      <c r="C525" s="1"/>
      <c r="D525" s="1"/>
      <c r="E525" s="1"/>
      <c r="F525" s="1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ht="15.75" customHeight="1" x14ac:dyDescent="0.25">
      <c r="A526" s="1"/>
      <c r="B526" s="1"/>
      <c r="C526" s="1"/>
      <c r="D526" s="1"/>
      <c r="E526" s="1"/>
      <c r="F526" s="1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ht="15.75" customHeight="1" x14ac:dyDescent="0.25">
      <c r="A527" s="1"/>
      <c r="B527" s="1"/>
      <c r="C527" s="1"/>
      <c r="D527" s="1"/>
      <c r="E527" s="1"/>
      <c r="F527" s="1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ht="15.75" customHeight="1" x14ac:dyDescent="0.25">
      <c r="A528" s="1"/>
      <c r="B528" s="1"/>
      <c r="C528" s="1"/>
      <c r="D528" s="1"/>
      <c r="E528" s="1"/>
      <c r="F528" s="1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ht="15.75" customHeight="1" x14ac:dyDescent="0.25">
      <c r="A529" s="1"/>
      <c r="B529" s="1"/>
      <c r="C529" s="1"/>
      <c r="D529" s="1"/>
      <c r="E529" s="1"/>
      <c r="F529" s="1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ht="15.75" customHeight="1" x14ac:dyDescent="0.25">
      <c r="A530" s="1"/>
      <c r="B530" s="1"/>
      <c r="C530" s="1"/>
      <c r="D530" s="1"/>
      <c r="E530" s="1"/>
      <c r="F530" s="1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ht="15.75" customHeight="1" x14ac:dyDescent="0.25">
      <c r="A531" s="1"/>
      <c r="B531" s="1"/>
      <c r="C531" s="1"/>
      <c r="D531" s="1"/>
      <c r="E531" s="1"/>
      <c r="F531" s="1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ht="15.75" customHeight="1" x14ac:dyDescent="0.25">
      <c r="A532" s="1"/>
      <c r="B532" s="1"/>
      <c r="C532" s="1"/>
      <c r="D532" s="1"/>
      <c r="E532" s="1"/>
      <c r="F532" s="1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ht="15.75" customHeight="1" x14ac:dyDescent="0.25">
      <c r="A533" s="1"/>
      <c r="B533" s="1"/>
      <c r="C533" s="1"/>
      <c r="D533" s="1"/>
      <c r="E533" s="1"/>
      <c r="F533" s="1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ht="15.75" customHeight="1" x14ac:dyDescent="0.25">
      <c r="A534" s="1"/>
      <c r="B534" s="1"/>
      <c r="C534" s="1"/>
      <c r="D534" s="1"/>
      <c r="E534" s="1"/>
      <c r="F534" s="1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ht="15.75" customHeight="1" x14ac:dyDescent="0.25">
      <c r="A535" s="1"/>
      <c r="B535" s="1"/>
      <c r="C535" s="1"/>
      <c r="D535" s="1"/>
      <c r="E535" s="1"/>
      <c r="F535" s="1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ht="15.75" customHeight="1" x14ac:dyDescent="0.25">
      <c r="A536" s="1"/>
      <c r="B536" s="1"/>
      <c r="C536" s="1"/>
      <c r="D536" s="1"/>
      <c r="E536" s="1"/>
      <c r="F536" s="1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ht="15.75" customHeight="1" x14ac:dyDescent="0.25">
      <c r="A537" s="1"/>
      <c r="B537" s="1"/>
      <c r="C537" s="1"/>
      <c r="D537" s="1"/>
      <c r="E537" s="1"/>
      <c r="F537" s="1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ht="15.75" customHeight="1" x14ac:dyDescent="0.25">
      <c r="A538" s="1"/>
      <c r="B538" s="1"/>
      <c r="C538" s="1"/>
      <c r="D538" s="1"/>
      <c r="E538" s="1"/>
      <c r="F538" s="1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ht="15.75" customHeight="1" x14ac:dyDescent="0.25">
      <c r="A539" s="1"/>
      <c r="B539" s="1"/>
      <c r="C539" s="1"/>
      <c r="D539" s="1"/>
      <c r="E539" s="1"/>
      <c r="F539" s="1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ht="15.75" customHeight="1" x14ac:dyDescent="0.25">
      <c r="A540" s="1"/>
      <c r="B540" s="1"/>
      <c r="C540" s="1"/>
      <c r="D540" s="1"/>
      <c r="E540" s="1"/>
      <c r="F540" s="1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ht="15.75" customHeight="1" x14ac:dyDescent="0.25">
      <c r="A541" s="1"/>
      <c r="B541" s="1"/>
      <c r="C541" s="1"/>
      <c r="D541" s="1"/>
      <c r="E541" s="1"/>
      <c r="F541" s="1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ht="15.75" customHeight="1" x14ac:dyDescent="0.25">
      <c r="A542" s="1"/>
      <c r="B542" s="1"/>
      <c r="C542" s="1"/>
      <c r="D542" s="1"/>
      <c r="E542" s="1"/>
      <c r="F542" s="1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ht="15.75" customHeight="1" x14ac:dyDescent="0.25">
      <c r="A543" s="1"/>
      <c r="B543" s="1"/>
      <c r="C543" s="1"/>
      <c r="D543" s="1"/>
      <c r="E543" s="1"/>
      <c r="F543" s="1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ht="15.75" customHeight="1" x14ac:dyDescent="0.25">
      <c r="A544" s="1"/>
      <c r="B544" s="1"/>
      <c r="C544" s="1"/>
      <c r="D544" s="1"/>
      <c r="E544" s="1"/>
      <c r="F544" s="1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ht="15.75" customHeight="1" x14ac:dyDescent="0.25">
      <c r="A545" s="1"/>
      <c r="B545" s="1"/>
      <c r="C545" s="1"/>
      <c r="D545" s="1"/>
      <c r="E545" s="1"/>
      <c r="F545" s="1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ht="15.75" customHeight="1" x14ac:dyDescent="0.25">
      <c r="A546" s="1"/>
      <c r="B546" s="1"/>
      <c r="C546" s="1"/>
      <c r="D546" s="1"/>
      <c r="E546" s="1"/>
      <c r="F546" s="1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ht="15.75" customHeight="1" x14ac:dyDescent="0.25">
      <c r="A547" s="1"/>
      <c r="B547" s="1"/>
      <c r="C547" s="1"/>
      <c r="D547" s="1"/>
      <c r="E547" s="1"/>
      <c r="F547" s="1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ht="15.75" customHeight="1" x14ac:dyDescent="0.25">
      <c r="A548" s="1"/>
      <c r="B548" s="1"/>
      <c r="C548" s="1"/>
      <c r="D548" s="1"/>
      <c r="E548" s="1"/>
      <c r="F548" s="1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ht="15.75" customHeight="1" x14ac:dyDescent="0.25">
      <c r="A549" s="1"/>
      <c r="B549" s="1"/>
      <c r="C549" s="1"/>
      <c r="D549" s="1"/>
      <c r="E549" s="1"/>
      <c r="F549" s="1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ht="15.75" customHeight="1" x14ac:dyDescent="0.25">
      <c r="A550" s="1"/>
      <c r="B550" s="1"/>
      <c r="C550" s="1"/>
      <c r="D550" s="1"/>
      <c r="E550" s="1"/>
      <c r="F550" s="1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ht="15.75" customHeight="1" x14ac:dyDescent="0.25">
      <c r="A551" s="1"/>
      <c r="B551" s="1"/>
      <c r="C551" s="1"/>
      <c r="D551" s="1"/>
      <c r="E551" s="1"/>
      <c r="F551" s="1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ht="15.75" customHeight="1" x14ac:dyDescent="0.25">
      <c r="A552" s="1"/>
      <c r="B552" s="1"/>
      <c r="C552" s="1"/>
      <c r="D552" s="1"/>
      <c r="E552" s="1"/>
      <c r="F552" s="1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ht="15.75" customHeight="1" x14ac:dyDescent="0.25">
      <c r="A553" s="1"/>
      <c r="B553" s="1"/>
      <c r="C553" s="1"/>
      <c r="D553" s="1"/>
      <c r="E553" s="1"/>
      <c r="F553" s="1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ht="15.75" customHeight="1" x14ac:dyDescent="0.25">
      <c r="A554" s="1"/>
      <c r="B554" s="1"/>
      <c r="C554" s="1"/>
      <c r="D554" s="1"/>
      <c r="E554" s="1"/>
      <c r="F554" s="1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ht="15.75" customHeight="1" x14ac:dyDescent="0.25">
      <c r="A555" s="1"/>
      <c r="B555" s="1"/>
      <c r="C555" s="1"/>
      <c r="D555" s="1"/>
      <c r="E555" s="1"/>
      <c r="F555" s="1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ht="15.75" customHeight="1" x14ac:dyDescent="0.25">
      <c r="A556" s="1"/>
      <c r="B556" s="1"/>
      <c r="C556" s="1"/>
      <c r="D556" s="1"/>
      <c r="E556" s="1"/>
      <c r="F556" s="1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ht="15.75" customHeight="1" x14ac:dyDescent="0.25">
      <c r="A557" s="1"/>
      <c r="B557" s="1"/>
      <c r="C557" s="1"/>
      <c r="D557" s="1"/>
      <c r="E557" s="1"/>
      <c r="F557" s="1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ht="15.75" customHeight="1" x14ac:dyDescent="0.25">
      <c r="A558" s="1"/>
      <c r="B558" s="1"/>
      <c r="C558" s="1"/>
      <c r="D558" s="1"/>
      <c r="E558" s="1"/>
      <c r="F558" s="1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ht="15.75" customHeight="1" x14ac:dyDescent="0.25">
      <c r="A559" s="1"/>
      <c r="B559" s="1"/>
      <c r="C559" s="1"/>
      <c r="D559" s="1"/>
      <c r="E559" s="1"/>
      <c r="F559" s="1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ht="15.75" customHeight="1" x14ac:dyDescent="0.25">
      <c r="A560" s="1"/>
      <c r="B560" s="1"/>
      <c r="C560" s="1"/>
      <c r="D560" s="1"/>
      <c r="E560" s="1"/>
      <c r="F560" s="1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ht="15.75" customHeight="1" x14ac:dyDescent="0.25">
      <c r="A561" s="1"/>
      <c r="B561" s="1"/>
      <c r="C561" s="1"/>
      <c r="D561" s="1"/>
      <c r="E561" s="1"/>
      <c r="F561" s="1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ht="15.75" customHeight="1" x14ac:dyDescent="0.25">
      <c r="A562" s="1"/>
      <c r="B562" s="1"/>
      <c r="C562" s="1"/>
      <c r="D562" s="1"/>
      <c r="E562" s="1"/>
      <c r="F562" s="1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ht="15.75" customHeight="1" x14ac:dyDescent="0.25">
      <c r="A563" s="1"/>
      <c r="B563" s="1"/>
      <c r="C563" s="1"/>
      <c r="D563" s="1"/>
      <c r="E563" s="1"/>
      <c r="F563" s="1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ht="15.75" customHeight="1" x14ac:dyDescent="0.25">
      <c r="A564" s="1"/>
      <c r="B564" s="1"/>
      <c r="C564" s="1"/>
      <c r="D564" s="1"/>
      <c r="E564" s="1"/>
      <c r="F564" s="1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ht="15.75" customHeight="1" x14ac:dyDescent="0.25">
      <c r="A565" s="1"/>
      <c r="B565" s="1"/>
      <c r="C565" s="1"/>
      <c r="D565" s="1"/>
      <c r="E565" s="1"/>
      <c r="F565" s="1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ht="15.75" customHeight="1" x14ac:dyDescent="0.25">
      <c r="A566" s="1"/>
      <c r="B566" s="1"/>
      <c r="C566" s="1"/>
      <c r="D566" s="1"/>
      <c r="E566" s="1"/>
      <c r="F566" s="1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ht="15.75" customHeight="1" x14ac:dyDescent="0.25">
      <c r="A567" s="1"/>
      <c r="B567" s="1"/>
      <c r="C567" s="1"/>
      <c r="D567" s="1"/>
      <c r="E567" s="1"/>
      <c r="F567" s="1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ht="15.75" customHeight="1" x14ac:dyDescent="0.25">
      <c r="A568" s="1"/>
      <c r="B568" s="1"/>
      <c r="C568" s="1"/>
      <c r="D568" s="1"/>
      <c r="E568" s="1"/>
      <c r="F568" s="1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ht="15.75" customHeight="1" x14ac:dyDescent="0.25">
      <c r="A569" s="1"/>
      <c r="B569" s="1"/>
      <c r="C569" s="1"/>
      <c r="D569" s="1"/>
      <c r="E569" s="1"/>
      <c r="F569" s="1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ht="15.75" customHeight="1" x14ac:dyDescent="0.25">
      <c r="A570" s="1"/>
      <c r="B570" s="1"/>
      <c r="C570" s="1"/>
      <c r="D570" s="1"/>
      <c r="E570" s="1"/>
      <c r="F570" s="1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ht="15.75" customHeight="1" x14ac:dyDescent="0.25">
      <c r="A571" s="1"/>
      <c r="B571" s="1"/>
      <c r="C571" s="1"/>
      <c r="D571" s="1"/>
      <c r="E571" s="1"/>
      <c r="F571" s="1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ht="15.75" customHeight="1" x14ac:dyDescent="0.25">
      <c r="A572" s="1"/>
      <c r="B572" s="1"/>
      <c r="C572" s="1"/>
      <c r="D572" s="1"/>
      <c r="E572" s="1"/>
      <c r="F572" s="1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ht="15.75" customHeight="1" x14ac:dyDescent="0.25">
      <c r="A573" s="1"/>
      <c r="B573" s="1"/>
      <c r="C573" s="1"/>
      <c r="D573" s="1"/>
      <c r="E573" s="1"/>
      <c r="F573" s="1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ht="15.75" customHeight="1" x14ac:dyDescent="0.25">
      <c r="A574" s="1"/>
      <c r="B574" s="1"/>
      <c r="C574" s="1"/>
      <c r="D574" s="1"/>
      <c r="E574" s="1"/>
      <c r="F574" s="1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ht="15.75" customHeight="1" x14ac:dyDescent="0.25">
      <c r="A575" s="1"/>
      <c r="B575" s="1"/>
      <c r="C575" s="1"/>
      <c r="D575" s="1"/>
      <c r="E575" s="1"/>
      <c r="F575" s="1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ht="15.75" customHeight="1" x14ac:dyDescent="0.25">
      <c r="A576" s="1"/>
      <c r="B576" s="1"/>
      <c r="C576" s="1"/>
      <c r="D576" s="1"/>
      <c r="E576" s="1"/>
      <c r="F576" s="1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ht="15.75" customHeight="1" x14ac:dyDescent="0.25">
      <c r="A577" s="1"/>
      <c r="B577" s="1"/>
      <c r="C577" s="1"/>
      <c r="D577" s="1"/>
      <c r="E577" s="1"/>
      <c r="F577" s="1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ht="15.75" customHeight="1" x14ac:dyDescent="0.25">
      <c r="A578" s="1"/>
      <c r="B578" s="1"/>
      <c r="C578" s="1"/>
      <c r="D578" s="1"/>
      <c r="E578" s="1"/>
      <c r="F578" s="1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ht="15.75" customHeight="1" x14ac:dyDescent="0.25">
      <c r="A579" s="1"/>
      <c r="B579" s="1"/>
      <c r="C579" s="1"/>
      <c r="D579" s="1"/>
      <c r="E579" s="1"/>
      <c r="F579" s="1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ht="15.75" customHeight="1" x14ac:dyDescent="0.25">
      <c r="A580" s="1"/>
      <c r="B580" s="1"/>
      <c r="C580" s="1"/>
      <c r="D580" s="1"/>
      <c r="E580" s="1"/>
      <c r="F580" s="1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ht="15.75" customHeight="1" x14ac:dyDescent="0.25">
      <c r="A581" s="1"/>
      <c r="B581" s="1"/>
      <c r="C581" s="1"/>
      <c r="D581" s="1"/>
      <c r="E581" s="1"/>
      <c r="F581" s="1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ht="15.75" customHeight="1" x14ac:dyDescent="0.25">
      <c r="A582" s="1"/>
      <c r="B582" s="1"/>
      <c r="C582" s="1"/>
      <c r="D582" s="1"/>
      <c r="E582" s="1"/>
      <c r="F582" s="1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ht="15.75" customHeight="1" x14ac:dyDescent="0.25">
      <c r="A583" s="1"/>
      <c r="B583" s="1"/>
      <c r="C583" s="1"/>
      <c r="D583" s="1"/>
      <c r="E583" s="1"/>
      <c r="F583" s="1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ht="15.75" customHeight="1" x14ac:dyDescent="0.25">
      <c r="A584" s="1"/>
      <c r="B584" s="1"/>
      <c r="C584" s="1"/>
      <c r="D584" s="1"/>
      <c r="E584" s="1"/>
      <c r="F584" s="1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ht="15.75" customHeight="1" x14ac:dyDescent="0.25">
      <c r="A585" s="1"/>
      <c r="B585" s="1"/>
      <c r="C585" s="1"/>
      <c r="D585" s="1"/>
      <c r="E585" s="1"/>
      <c r="F585" s="1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ht="15.75" customHeight="1" x14ac:dyDescent="0.25">
      <c r="A586" s="1"/>
      <c r="B586" s="1"/>
      <c r="C586" s="1"/>
      <c r="D586" s="1"/>
      <c r="E586" s="1"/>
      <c r="F586" s="1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ht="15.75" customHeight="1" x14ac:dyDescent="0.25">
      <c r="A587" s="1"/>
      <c r="B587" s="1"/>
      <c r="C587" s="1"/>
      <c r="D587" s="1"/>
      <c r="E587" s="1"/>
      <c r="F587" s="1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ht="15.75" customHeight="1" x14ac:dyDescent="0.25">
      <c r="A588" s="1"/>
      <c r="B588" s="1"/>
      <c r="C588" s="1"/>
      <c r="D588" s="1"/>
      <c r="E588" s="1"/>
      <c r="F588" s="1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ht="15.75" customHeight="1" x14ac:dyDescent="0.25">
      <c r="A589" s="1"/>
      <c r="B589" s="1"/>
      <c r="C589" s="1"/>
      <c r="D589" s="1"/>
      <c r="E589" s="1"/>
      <c r="F589" s="1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ht="15.75" customHeight="1" x14ac:dyDescent="0.25">
      <c r="A590" s="1"/>
      <c r="B590" s="1"/>
      <c r="C590" s="1"/>
      <c r="D590" s="1"/>
      <c r="E590" s="1"/>
      <c r="F590" s="1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ht="15.75" customHeight="1" x14ac:dyDescent="0.25">
      <c r="A591" s="1"/>
      <c r="B591" s="1"/>
      <c r="C591" s="1"/>
      <c r="D591" s="1"/>
      <c r="E591" s="1"/>
      <c r="F591" s="1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ht="15.75" customHeight="1" x14ac:dyDescent="0.25">
      <c r="A592" s="1"/>
      <c r="B592" s="1"/>
      <c r="C592" s="1"/>
      <c r="D592" s="1"/>
      <c r="E592" s="1"/>
      <c r="F592" s="1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ht="15.75" customHeight="1" x14ac:dyDescent="0.25">
      <c r="A593" s="1"/>
      <c r="B593" s="1"/>
      <c r="C593" s="1"/>
      <c r="D593" s="1"/>
      <c r="E593" s="1"/>
      <c r="F593" s="1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ht="15.75" customHeight="1" x14ac:dyDescent="0.25">
      <c r="A594" s="1"/>
      <c r="B594" s="1"/>
      <c r="C594" s="1"/>
      <c r="D594" s="1"/>
      <c r="E594" s="1"/>
      <c r="F594" s="1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ht="15.75" customHeight="1" x14ac:dyDescent="0.25">
      <c r="A595" s="1"/>
      <c r="B595" s="1"/>
      <c r="C595" s="1"/>
      <c r="D595" s="1"/>
      <c r="E595" s="1"/>
      <c r="F595" s="1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ht="15.75" customHeight="1" x14ac:dyDescent="0.25">
      <c r="A596" s="1"/>
      <c r="B596" s="1"/>
      <c r="C596" s="1"/>
      <c r="D596" s="1"/>
      <c r="E596" s="1"/>
      <c r="F596" s="1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ht="15.75" customHeight="1" x14ac:dyDescent="0.25">
      <c r="A597" s="1"/>
      <c r="B597" s="1"/>
      <c r="C597" s="1"/>
      <c r="D597" s="1"/>
      <c r="E597" s="1"/>
      <c r="F597" s="1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ht="15.75" customHeight="1" x14ac:dyDescent="0.25">
      <c r="A598" s="1"/>
      <c r="B598" s="1"/>
      <c r="C598" s="1"/>
      <c r="D598" s="1"/>
      <c r="E598" s="1"/>
      <c r="F598" s="1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ht="15.75" customHeight="1" x14ac:dyDescent="0.25">
      <c r="A599" s="1"/>
      <c r="B599" s="1"/>
      <c r="C599" s="1"/>
      <c r="D599" s="1"/>
      <c r="E599" s="1"/>
      <c r="F599" s="1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ht="15.75" customHeight="1" x14ac:dyDescent="0.25">
      <c r="A600" s="1"/>
      <c r="B600" s="1"/>
      <c r="C600" s="1"/>
      <c r="D600" s="1"/>
      <c r="E600" s="1"/>
      <c r="F600" s="1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ht="15.75" customHeight="1" x14ac:dyDescent="0.25">
      <c r="A601" s="1"/>
      <c r="B601" s="1"/>
      <c r="C601" s="1"/>
      <c r="D601" s="1"/>
      <c r="E601" s="1"/>
      <c r="F601" s="1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ht="15.75" customHeight="1" x14ac:dyDescent="0.25">
      <c r="A602" s="1"/>
      <c r="B602" s="1"/>
      <c r="C602" s="1"/>
      <c r="D602" s="1"/>
      <c r="E602" s="1"/>
      <c r="F602" s="1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ht="15.75" customHeight="1" x14ac:dyDescent="0.25">
      <c r="A603" s="1"/>
      <c r="B603" s="1"/>
      <c r="C603" s="1"/>
      <c r="D603" s="1"/>
      <c r="E603" s="1"/>
      <c r="F603" s="1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ht="15.75" customHeight="1" x14ac:dyDescent="0.25">
      <c r="A604" s="1"/>
      <c r="B604" s="1"/>
      <c r="C604" s="1"/>
      <c r="D604" s="1"/>
      <c r="E604" s="1"/>
      <c r="F604" s="1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ht="15.75" customHeight="1" x14ac:dyDescent="0.25">
      <c r="A605" s="1"/>
      <c r="B605" s="1"/>
      <c r="C605" s="1"/>
      <c r="D605" s="1"/>
      <c r="E605" s="1"/>
      <c r="F605" s="1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ht="15.75" customHeight="1" x14ac:dyDescent="0.25">
      <c r="A606" s="1"/>
      <c r="B606" s="1"/>
      <c r="C606" s="1"/>
      <c r="D606" s="1"/>
      <c r="E606" s="1"/>
      <c r="F606" s="1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ht="15.75" customHeight="1" x14ac:dyDescent="0.25">
      <c r="A607" s="1"/>
      <c r="B607" s="1"/>
      <c r="C607" s="1"/>
      <c r="D607" s="1"/>
      <c r="E607" s="1"/>
      <c r="F607" s="1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ht="15.75" customHeight="1" x14ac:dyDescent="0.25">
      <c r="A608" s="1"/>
      <c r="B608" s="1"/>
      <c r="C608" s="1"/>
      <c r="D608" s="1"/>
      <c r="E608" s="1"/>
      <c r="F608" s="1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ht="15.75" customHeight="1" x14ac:dyDescent="0.25">
      <c r="A609" s="1"/>
      <c r="B609" s="1"/>
      <c r="C609" s="1"/>
      <c r="D609" s="1"/>
      <c r="E609" s="1"/>
      <c r="F609" s="1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ht="15.75" customHeight="1" x14ac:dyDescent="0.25">
      <c r="A610" s="1"/>
      <c r="B610" s="1"/>
      <c r="C610" s="1"/>
      <c r="D610" s="1"/>
      <c r="E610" s="1"/>
      <c r="F610" s="1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ht="15.75" customHeight="1" x14ac:dyDescent="0.25">
      <c r="A611" s="1"/>
      <c r="B611" s="1"/>
      <c r="C611" s="1"/>
      <c r="D611" s="1"/>
      <c r="E611" s="1"/>
      <c r="F611" s="1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ht="15.75" customHeight="1" x14ac:dyDescent="0.25">
      <c r="A612" s="1"/>
      <c r="B612" s="1"/>
      <c r="C612" s="1"/>
      <c r="D612" s="1"/>
      <c r="E612" s="1"/>
      <c r="F612" s="1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ht="15.75" customHeight="1" x14ac:dyDescent="0.25">
      <c r="A613" s="1"/>
      <c r="B613" s="1"/>
      <c r="C613" s="1"/>
      <c r="D613" s="1"/>
      <c r="E613" s="1"/>
      <c r="F613" s="1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ht="15.75" customHeight="1" x14ac:dyDescent="0.25">
      <c r="A614" s="1"/>
      <c r="B614" s="1"/>
      <c r="C614" s="1"/>
      <c r="D614" s="1"/>
      <c r="E614" s="1"/>
      <c r="F614" s="1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ht="15.75" customHeight="1" x14ac:dyDescent="0.25">
      <c r="A615" s="1"/>
      <c r="B615" s="1"/>
      <c r="C615" s="1"/>
      <c r="D615" s="1"/>
      <c r="E615" s="1"/>
      <c r="F615" s="1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ht="15.75" customHeight="1" x14ac:dyDescent="0.25">
      <c r="A616" s="1"/>
      <c r="B616" s="1"/>
      <c r="C616" s="1"/>
      <c r="D616" s="1"/>
      <c r="E616" s="1"/>
      <c r="F616" s="1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ht="15.75" customHeight="1" x14ac:dyDescent="0.25">
      <c r="A617" s="1"/>
      <c r="B617" s="1"/>
      <c r="C617" s="1"/>
      <c r="D617" s="1"/>
      <c r="E617" s="1"/>
      <c r="F617" s="1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ht="15.75" customHeight="1" x14ac:dyDescent="0.25">
      <c r="A618" s="1"/>
      <c r="B618" s="1"/>
      <c r="C618" s="1"/>
      <c r="D618" s="1"/>
      <c r="E618" s="1"/>
      <c r="F618" s="1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ht="15.75" customHeight="1" x14ac:dyDescent="0.25">
      <c r="A619" s="1"/>
      <c r="B619" s="1"/>
      <c r="C619" s="1"/>
      <c r="D619" s="1"/>
      <c r="E619" s="1"/>
      <c r="F619" s="1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ht="15.75" customHeight="1" x14ac:dyDescent="0.25">
      <c r="A620" s="1"/>
      <c r="B620" s="1"/>
      <c r="C620" s="1"/>
      <c r="D620" s="1"/>
      <c r="E620" s="1"/>
      <c r="F620" s="1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ht="15.75" customHeight="1" x14ac:dyDescent="0.25">
      <c r="A621" s="1"/>
      <c r="B621" s="1"/>
      <c r="C621" s="1"/>
      <c r="D621" s="1"/>
      <c r="E621" s="1"/>
      <c r="F621" s="1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ht="15.75" customHeight="1" x14ac:dyDescent="0.25">
      <c r="A622" s="1"/>
      <c r="B622" s="1"/>
      <c r="C622" s="1"/>
      <c r="D622" s="1"/>
      <c r="E622" s="1"/>
      <c r="F622" s="1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ht="15.75" customHeight="1" x14ac:dyDescent="0.25">
      <c r="A623" s="1"/>
      <c r="B623" s="1"/>
      <c r="C623" s="1"/>
      <c r="D623" s="1"/>
      <c r="E623" s="1"/>
      <c r="F623" s="1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ht="15.75" customHeight="1" x14ac:dyDescent="0.25">
      <c r="A624" s="1"/>
      <c r="B624" s="1"/>
      <c r="C624" s="1"/>
      <c r="D624" s="1"/>
      <c r="E624" s="1"/>
      <c r="F624" s="1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ht="15.75" customHeight="1" x14ac:dyDescent="0.25">
      <c r="A625" s="1"/>
      <c r="B625" s="1"/>
      <c r="C625" s="1"/>
      <c r="D625" s="1"/>
      <c r="E625" s="1"/>
      <c r="F625" s="1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ht="15.75" customHeight="1" x14ac:dyDescent="0.25">
      <c r="A626" s="1"/>
      <c r="B626" s="1"/>
      <c r="C626" s="1"/>
      <c r="D626" s="1"/>
      <c r="E626" s="1"/>
      <c r="F626" s="1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ht="15.75" customHeight="1" x14ac:dyDescent="0.25">
      <c r="A627" s="1"/>
      <c r="B627" s="1"/>
      <c r="C627" s="1"/>
      <c r="D627" s="1"/>
      <c r="E627" s="1"/>
      <c r="F627" s="1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ht="15.75" customHeight="1" x14ac:dyDescent="0.25">
      <c r="A628" s="1"/>
      <c r="B628" s="1"/>
      <c r="C628" s="1"/>
      <c r="D628" s="1"/>
      <c r="E628" s="1"/>
      <c r="F628" s="1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ht="15.75" customHeight="1" x14ac:dyDescent="0.25">
      <c r="A629" s="1"/>
      <c r="B629" s="1"/>
      <c r="C629" s="1"/>
      <c r="D629" s="1"/>
      <c r="E629" s="1"/>
      <c r="F629" s="1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ht="15.75" customHeight="1" x14ac:dyDescent="0.25">
      <c r="A630" s="1"/>
      <c r="B630" s="1"/>
      <c r="C630" s="1"/>
      <c r="D630" s="1"/>
      <c r="E630" s="1"/>
      <c r="F630" s="1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ht="15.75" customHeight="1" x14ac:dyDescent="0.25">
      <c r="A631" s="1"/>
      <c r="B631" s="1"/>
      <c r="C631" s="1"/>
      <c r="D631" s="1"/>
      <c r="E631" s="1"/>
      <c r="F631" s="1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ht="15.75" customHeight="1" x14ac:dyDescent="0.25">
      <c r="A632" s="1"/>
      <c r="B632" s="1"/>
      <c r="C632" s="1"/>
      <c r="D632" s="1"/>
      <c r="E632" s="1"/>
      <c r="F632" s="1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ht="15.75" customHeight="1" x14ac:dyDescent="0.25">
      <c r="A633" s="1"/>
      <c r="B633" s="1"/>
      <c r="C633" s="1"/>
      <c r="D633" s="1"/>
      <c r="E633" s="1"/>
      <c r="F633" s="1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ht="15.75" customHeight="1" x14ac:dyDescent="0.25">
      <c r="A634" s="1"/>
      <c r="B634" s="1"/>
      <c r="C634" s="1"/>
      <c r="D634" s="1"/>
      <c r="E634" s="1"/>
      <c r="F634" s="1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ht="15.75" customHeight="1" x14ac:dyDescent="0.25">
      <c r="A635" s="1"/>
      <c r="B635" s="1"/>
      <c r="C635" s="1"/>
      <c r="D635" s="1"/>
      <c r="E635" s="1"/>
      <c r="F635" s="1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ht="15.75" customHeight="1" x14ac:dyDescent="0.25">
      <c r="A636" s="1"/>
      <c r="B636" s="1"/>
      <c r="C636" s="1"/>
      <c r="D636" s="1"/>
      <c r="E636" s="1"/>
      <c r="F636" s="1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ht="15.75" customHeight="1" x14ac:dyDescent="0.25">
      <c r="A637" s="1"/>
      <c r="B637" s="1"/>
      <c r="C637" s="1"/>
      <c r="D637" s="1"/>
      <c r="E637" s="1"/>
      <c r="F637" s="1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ht="15.75" customHeight="1" x14ac:dyDescent="0.25">
      <c r="A638" s="1"/>
      <c r="B638" s="1"/>
      <c r="C638" s="1"/>
      <c r="D638" s="1"/>
      <c r="E638" s="1"/>
      <c r="F638" s="1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ht="15.75" customHeight="1" x14ac:dyDescent="0.25">
      <c r="A639" s="1"/>
      <c r="B639" s="1"/>
      <c r="C639" s="1"/>
      <c r="D639" s="1"/>
      <c r="E639" s="1"/>
      <c r="F639" s="1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ht="15.75" customHeight="1" x14ac:dyDescent="0.25">
      <c r="A640" s="1"/>
      <c r="B640" s="1"/>
      <c r="C640" s="1"/>
      <c r="D640" s="1"/>
      <c r="E640" s="1"/>
      <c r="F640" s="1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ht="15.75" customHeight="1" x14ac:dyDescent="0.25">
      <c r="A641" s="1"/>
      <c r="B641" s="1"/>
      <c r="C641" s="1"/>
      <c r="D641" s="1"/>
      <c r="E641" s="1"/>
      <c r="F641" s="1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ht="15.75" customHeight="1" x14ac:dyDescent="0.25">
      <c r="A642" s="1"/>
      <c r="B642" s="1"/>
      <c r="C642" s="1"/>
      <c r="D642" s="1"/>
      <c r="E642" s="1"/>
      <c r="F642" s="1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ht="15.75" customHeight="1" x14ac:dyDescent="0.25">
      <c r="A643" s="1"/>
      <c r="B643" s="1"/>
      <c r="C643" s="1"/>
      <c r="D643" s="1"/>
      <c r="E643" s="1"/>
      <c r="F643" s="1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ht="15.75" customHeight="1" x14ac:dyDescent="0.25">
      <c r="A644" s="1"/>
      <c r="B644" s="1"/>
      <c r="C644" s="1"/>
      <c r="D644" s="1"/>
      <c r="E644" s="1"/>
      <c r="F644" s="1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ht="15.75" customHeight="1" x14ac:dyDescent="0.25">
      <c r="A645" s="1"/>
      <c r="B645" s="1"/>
      <c r="C645" s="1"/>
      <c r="D645" s="1"/>
      <c r="E645" s="1"/>
      <c r="F645" s="1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ht="15.75" customHeight="1" x14ac:dyDescent="0.25">
      <c r="A646" s="1"/>
      <c r="B646" s="1"/>
      <c r="C646" s="1"/>
      <c r="D646" s="1"/>
      <c r="E646" s="1"/>
      <c r="F646" s="1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ht="15.75" customHeight="1" x14ac:dyDescent="0.25">
      <c r="A647" s="1"/>
      <c r="B647" s="1"/>
      <c r="C647" s="1"/>
      <c r="D647" s="1"/>
      <c r="E647" s="1"/>
      <c r="F647" s="1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ht="15.75" customHeight="1" x14ac:dyDescent="0.25">
      <c r="A648" s="1"/>
      <c r="B648" s="1"/>
      <c r="C648" s="1"/>
      <c r="D648" s="1"/>
      <c r="E648" s="1"/>
      <c r="F648" s="1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ht="15.75" customHeight="1" x14ac:dyDescent="0.25">
      <c r="A649" s="1"/>
      <c r="B649" s="1"/>
      <c r="C649" s="1"/>
      <c r="D649" s="1"/>
      <c r="E649" s="1"/>
      <c r="F649" s="1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ht="15.75" customHeight="1" x14ac:dyDescent="0.25">
      <c r="A650" s="1"/>
      <c r="B650" s="1"/>
      <c r="C650" s="1"/>
      <c r="D650" s="1"/>
      <c r="E650" s="1"/>
      <c r="F650" s="1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ht="15.75" customHeight="1" x14ac:dyDescent="0.25">
      <c r="A651" s="1"/>
      <c r="B651" s="1"/>
      <c r="C651" s="1"/>
      <c r="D651" s="1"/>
      <c r="E651" s="1"/>
      <c r="F651" s="1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ht="15.75" customHeight="1" x14ac:dyDescent="0.25">
      <c r="A652" s="1"/>
      <c r="B652" s="1"/>
      <c r="C652" s="1"/>
      <c r="D652" s="1"/>
      <c r="E652" s="1"/>
      <c r="F652" s="1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ht="15.75" customHeight="1" x14ac:dyDescent="0.25">
      <c r="A653" s="1"/>
      <c r="B653" s="1"/>
      <c r="C653" s="1"/>
      <c r="D653" s="1"/>
      <c r="E653" s="1"/>
      <c r="F653" s="1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ht="15.75" customHeight="1" x14ac:dyDescent="0.25">
      <c r="A654" s="1"/>
      <c r="B654" s="1"/>
      <c r="C654" s="1"/>
      <c r="D654" s="1"/>
      <c r="E654" s="1"/>
      <c r="F654" s="1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ht="15.75" customHeight="1" x14ac:dyDescent="0.25">
      <c r="A655" s="1"/>
      <c r="B655" s="1"/>
      <c r="C655" s="1"/>
      <c r="D655" s="1"/>
      <c r="E655" s="1"/>
      <c r="F655" s="1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ht="15.75" customHeight="1" x14ac:dyDescent="0.25">
      <c r="A656" s="1"/>
      <c r="B656" s="1"/>
      <c r="C656" s="1"/>
      <c r="D656" s="1"/>
      <c r="E656" s="1"/>
      <c r="F656" s="1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ht="15.75" customHeight="1" x14ac:dyDescent="0.25">
      <c r="A657" s="1"/>
      <c r="B657" s="1"/>
      <c r="C657" s="1"/>
      <c r="D657" s="1"/>
      <c r="E657" s="1"/>
      <c r="F657" s="1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ht="15.75" customHeight="1" x14ac:dyDescent="0.25">
      <c r="A658" s="1"/>
      <c r="B658" s="1"/>
      <c r="C658" s="1"/>
      <c r="D658" s="1"/>
      <c r="E658" s="1"/>
      <c r="F658" s="1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ht="15.75" customHeight="1" x14ac:dyDescent="0.25">
      <c r="A659" s="1"/>
      <c r="B659" s="1"/>
      <c r="C659" s="1"/>
      <c r="D659" s="1"/>
      <c r="E659" s="1"/>
      <c r="F659" s="1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ht="15.75" customHeight="1" x14ac:dyDescent="0.25">
      <c r="A660" s="1"/>
      <c r="B660" s="1"/>
      <c r="C660" s="1"/>
      <c r="D660" s="1"/>
      <c r="E660" s="1"/>
      <c r="F660" s="1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ht="15.75" customHeight="1" x14ac:dyDescent="0.25">
      <c r="A661" s="1"/>
      <c r="B661" s="1"/>
      <c r="C661" s="1"/>
      <c r="D661" s="1"/>
      <c r="E661" s="1"/>
      <c r="F661" s="1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ht="15.75" customHeight="1" x14ac:dyDescent="0.25">
      <c r="A662" s="1"/>
      <c r="B662" s="1"/>
      <c r="C662" s="1"/>
      <c r="D662" s="1"/>
      <c r="E662" s="1"/>
      <c r="F662" s="1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ht="15.75" customHeight="1" x14ac:dyDescent="0.25">
      <c r="A663" s="1"/>
      <c r="B663" s="1"/>
      <c r="C663" s="1"/>
      <c r="D663" s="1"/>
      <c r="E663" s="1"/>
      <c r="F663" s="1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ht="15.75" customHeight="1" x14ac:dyDescent="0.25">
      <c r="A664" s="1"/>
      <c r="B664" s="1"/>
      <c r="C664" s="1"/>
      <c r="D664" s="1"/>
      <c r="E664" s="1"/>
      <c r="F664" s="1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ht="15.75" customHeight="1" x14ac:dyDescent="0.25">
      <c r="A665" s="1"/>
      <c r="B665" s="1"/>
      <c r="C665" s="1"/>
      <c r="D665" s="1"/>
      <c r="E665" s="1"/>
      <c r="F665" s="1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ht="15.75" customHeight="1" x14ac:dyDescent="0.25">
      <c r="A666" s="1"/>
      <c r="B666" s="1"/>
      <c r="C666" s="1"/>
      <c r="D666" s="1"/>
      <c r="E666" s="1"/>
      <c r="F666" s="1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ht="15.75" customHeight="1" x14ac:dyDescent="0.25">
      <c r="A667" s="1"/>
      <c r="B667" s="1"/>
      <c r="C667" s="1"/>
      <c r="D667" s="1"/>
      <c r="E667" s="1"/>
      <c r="F667" s="1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ht="15.75" customHeight="1" x14ac:dyDescent="0.25">
      <c r="A668" s="1"/>
      <c r="B668" s="1"/>
      <c r="C668" s="1"/>
      <c r="D668" s="1"/>
      <c r="E668" s="1"/>
      <c r="F668" s="1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ht="15.75" customHeight="1" x14ac:dyDescent="0.25">
      <c r="A669" s="1"/>
      <c r="B669" s="1"/>
      <c r="C669" s="1"/>
      <c r="D669" s="1"/>
      <c r="E669" s="1"/>
      <c r="F669" s="1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ht="15.75" customHeight="1" x14ac:dyDescent="0.25">
      <c r="A670" s="1"/>
      <c r="B670" s="1"/>
      <c r="C670" s="1"/>
      <c r="D670" s="1"/>
      <c r="E670" s="1"/>
      <c r="F670" s="1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ht="15.75" customHeight="1" x14ac:dyDescent="0.25">
      <c r="A671" s="1"/>
      <c r="B671" s="1"/>
      <c r="C671" s="1"/>
      <c r="D671" s="1"/>
      <c r="E671" s="1"/>
      <c r="F671" s="1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ht="15.75" customHeight="1" x14ac:dyDescent="0.25">
      <c r="A672" s="1"/>
      <c r="B672" s="1"/>
      <c r="C672" s="1"/>
      <c r="D672" s="1"/>
      <c r="E672" s="1"/>
      <c r="F672" s="1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ht="15.75" customHeight="1" x14ac:dyDescent="0.25">
      <c r="A673" s="1"/>
      <c r="B673" s="1"/>
      <c r="C673" s="1"/>
      <c r="D673" s="1"/>
      <c r="E673" s="1"/>
      <c r="F673" s="1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ht="15.75" customHeight="1" x14ac:dyDescent="0.25">
      <c r="A674" s="1"/>
      <c r="B674" s="1"/>
      <c r="C674" s="1"/>
      <c r="D674" s="1"/>
      <c r="E674" s="1"/>
      <c r="F674" s="1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ht="15.75" customHeight="1" x14ac:dyDescent="0.25">
      <c r="A675" s="1"/>
      <c r="B675" s="1"/>
      <c r="C675" s="1"/>
      <c r="D675" s="1"/>
      <c r="E675" s="1"/>
      <c r="F675" s="1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ht="15.75" customHeight="1" x14ac:dyDescent="0.25">
      <c r="A676" s="1"/>
      <c r="B676" s="1"/>
      <c r="C676" s="1"/>
      <c r="D676" s="1"/>
      <c r="E676" s="1"/>
      <c r="F676" s="1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ht="15.75" customHeight="1" x14ac:dyDescent="0.25">
      <c r="A677" s="1"/>
      <c r="B677" s="1"/>
      <c r="C677" s="1"/>
      <c r="D677" s="1"/>
      <c r="E677" s="1"/>
      <c r="F677" s="1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ht="15.75" customHeight="1" x14ac:dyDescent="0.25">
      <c r="A678" s="1"/>
      <c r="B678" s="1"/>
      <c r="C678" s="1"/>
      <c r="D678" s="1"/>
      <c r="E678" s="1"/>
      <c r="F678" s="1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ht="15.75" customHeight="1" x14ac:dyDescent="0.25">
      <c r="A679" s="1"/>
      <c r="B679" s="1"/>
      <c r="C679" s="1"/>
      <c r="D679" s="1"/>
      <c r="E679" s="1"/>
      <c r="F679" s="1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ht="15.75" customHeight="1" x14ac:dyDescent="0.25">
      <c r="A680" s="1"/>
      <c r="B680" s="1"/>
      <c r="C680" s="1"/>
      <c r="D680" s="1"/>
      <c r="E680" s="1"/>
      <c r="F680" s="1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ht="15.75" customHeight="1" x14ac:dyDescent="0.25">
      <c r="A681" s="1"/>
      <c r="B681" s="1"/>
      <c r="C681" s="1"/>
      <c r="D681" s="1"/>
      <c r="E681" s="1"/>
      <c r="F681" s="1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ht="15.75" customHeight="1" x14ac:dyDescent="0.25">
      <c r="A682" s="1"/>
      <c r="B682" s="1"/>
      <c r="C682" s="1"/>
      <c r="D682" s="1"/>
      <c r="E682" s="1"/>
      <c r="F682" s="1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ht="15.75" customHeight="1" x14ac:dyDescent="0.25">
      <c r="A683" s="1"/>
      <c r="B683" s="1"/>
      <c r="C683" s="1"/>
      <c r="D683" s="1"/>
      <c r="E683" s="1"/>
      <c r="F683" s="1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ht="15.75" customHeight="1" x14ac:dyDescent="0.25">
      <c r="A684" s="1"/>
      <c r="B684" s="1"/>
      <c r="C684" s="1"/>
      <c r="D684" s="1"/>
      <c r="E684" s="1"/>
      <c r="F684" s="1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ht="15.75" customHeight="1" x14ac:dyDescent="0.25">
      <c r="A685" s="1"/>
      <c r="B685" s="1"/>
      <c r="C685" s="1"/>
      <c r="D685" s="1"/>
      <c r="E685" s="1"/>
      <c r="F685" s="1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ht="15.75" customHeight="1" x14ac:dyDescent="0.25">
      <c r="A686" s="1"/>
      <c r="B686" s="1"/>
      <c r="C686" s="1"/>
      <c r="D686" s="1"/>
      <c r="E686" s="1"/>
      <c r="F686" s="1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ht="15.75" customHeight="1" x14ac:dyDescent="0.25">
      <c r="A687" s="1"/>
      <c r="B687" s="1"/>
      <c r="C687" s="1"/>
      <c r="D687" s="1"/>
      <c r="E687" s="1"/>
      <c r="F687" s="1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ht="15.75" customHeight="1" x14ac:dyDescent="0.25">
      <c r="A688" s="1"/>
      <c r="B688" s="1"/>
      <c r="C688" s="1"/>
      <c r="D688" s="1"/>
      <c r="E688" s="1"/>
      <c r="F688" s="1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ht="15.75" customHeight="1" x14ac:dyDescent="0.25">
      <c r="A689" s="1"/>
      <c r="B689" s="1"/>
      <c r="C689" s="1"/>
      <c r="D689" s="1"/>
      <c r="E689" s="1"/>
      <c r="F689" s="1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ht="15.75" customHeight="1" x14ac:dyDescent="0.25">
      <c r="A690" s="1"/>
      <c r="B690" s="1"/>
      <c r="C690" s="1"/>
      <c r="D690" s="1"/>
      <c r="E690" s="1"/>
      <c r="F690" s="1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ht="15.75" customHeight="1" x14ac:dyDescent="0.25">
      <c r="A691" s="1"/>
      <c r="B691" s="1"/>
      <c r="C691" s="1"/>
      <c r="D691" s="1"/>
      <c r="E691" s="1"/>
      <c r="F691" s="1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ht="15.75" customHeight="1" x14ac:dyDescent="0.25">
      <c r="A692" s="1"/>
      <c r="B692" s="1"/>
      <c r="C692" s="1"/>
      <c r="D692" s="1"/>
      <c r="E692" s="1"/>
      <c r="F692" s="1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ht="15.75" customHeight="1" x14ac:dyDescent="0.25">
      <c r="A693" s="1"/>
      <c r="B693" s="1"/>
      <c r="C693" s="1"/>
      <c r="D693" s="1"/>
      <c r="E693" s="1"/>
      <c r="F693" s="1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ht="15.75" customHeight="1" x14ac:dyDescent="0.25">
      <c r="A694" s="1"/>
      <c r="B694" s="1"/>
      <c r="C694" s="1"/>
      <c r="D694" s="1"/>
      <c r="E694" s="1"/>
      <c r="F694" s="1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ht="15.75" customHeight="1" x14ac:dyDescent="0.25">
      <c r="A695" s="1"/>
      <c r="B695" s="1"/>
      <c r="C695" s="1"/>
      <c r="D695" s="1"/>
      <c r="E695" s="1"/>
      <c r="F695" s="1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ht="15.75" customHeight="1" x14ac:dyDescent="0.25">
      <c r="A696" s="1"/>
      <c r="B696" s="1"/>
      <c r="C696" s="1"/>
      <c r="D696" s="1"/>
      <c r="E696" s="1"/>
      <c r="F696" s="1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ht="15.75" customHeight="1" x14ac:dyDescent="0.25">
      <c r="A697" s="1"/>
      <c r="B697" s="1"/>
      <c r="C697" s="1"/>
      <c r="D697" s="1"/>
      <c r="E697" s="1"/>
      <c r="F697" s="1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ht="15.75" customHeight="1" x14ac:dyDescent="0.25">
      <c r="A698" s="1"/>
      <c r="B698" s="1"/>
      <c r="C698" s="1"/>
      <c r="D698" s="1"/>
      <c r="E698" s="1"/>
      <c r="F698" s="1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ht="15.75" customHeight="1" x14ac:dyDescent="0.25">
      <c r="A699" s="1"/>
      <c r="B699" s="1"/>
      <c r="C699" s="1"/>
      <c r="D699" s="1"/>
      <c r="E699" s="1"/>
      <c r="F699" s="1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ht="15.75" customHeight="1" x14ac:dyDescent="0.25">
      <c r="A700" s="1"/>
      <c r="B700" s="1"/>
      <c r="C700" s="1"/>
      <c r="D700" s="1"/>
      <c r="E700" s="1"/>
      <c r="F700" s="1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ht="15.75" customHeight="1" x14ac:dyDescent="0.25">
      <c r="A701" s="1"/>
      <c r="B701" s="1"/>
      <c r="C701" s="1"/>
      <c r="D701" s="1"/>
      <c r="E701" s="1"/>
      <c r="F701" s="1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ht="15.75" customHeight="1" x14ac:dyDescent="0.25">
      <c r="A702" s="1"/>
      <c r="B702" s="1"/>
      <c r="C702" s="1"/>
      <c r="D702" s="1"/>
      <c r="E702" s="1"/>
      <c r="F702" s="1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ht="15.75" customHeight="1" x14ac:dyDescent="0.25">
      <c r="A703" s="1"/>
      <c r="B703" s="1"/>
      <c r="C703" s="1"/>
      <c r="D703" s="1"/>
      <c r="E703" s="1"/>
      <c r="F703" s="1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ht="15.75" customHeight="1" x14ac:dyDescent="0.25">
      <c r="A704" s="1"/>
      <c r="B704" s="1"/>
      <c r="C704" s="1"/>
      <c r="D704" s="1"/>
      <c r="E704" s="1"/>
      <c r="F704" s="1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ht="15.75" customHeight="1" x14ac:dyDescent="0.25">
      <c r="A705" s="1"/>
      <c r="B705" s="1"/>
      <c r="C705" s="1"/>
      <c r="D705" s="1"/>
      <c r="E705" s="1"/>
      <c r="F705" s="1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ht="15.75" customHeight="1" x14ac:dyDescent="0.25">
      <c r="A706" s="1"/>
      <c r="B706" s="1"/>
      <c r="C706" s="1"/>
      <c r="D706" s="1"/>
      <c r="E706" s="1"/>
      <c r="F706" s="1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ht="15.75" customHeight="1" x14ac:dyDescent="0.25">
      <c r="A707" s="1"/>
      <c r="B707" s="1"/>
      <c r="C707" s="1"/>
      <c r="D707" s="1"/>
      <c r="E707" s="1"/>
      <c r="F707" s="1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ht="15.75" customHeight="1" x14ac:dyDescent="0.25">
      <c r="A708" s="1"/>
      <c r="B708" s="1"/>
      <c r="C708" s="1"/>
      <c r="D708" s="1"/>
      <c r="E708" s="1"/>
      <c r="F708" s="1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ht="15.75" customHeight="1" x14ac:dyDescent="0.25">
      <c r="A709" s="1"/>
      <c r="B709" s="1"/>
      <c r="C709" s="1"/>
      <c r="D709" s="1"/>
      <c r="E709" s="1"/>
      <c r="F709" s="1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ht="15.75" customHeight="1" x14ac:dyDescent="0.25">
      <c r="A710" s="1"/>
      <c r="B710" s="1"/>
      <c r="C710" s="1"/>
      <c r="D710" s="1"/>
      <c r="E710" s="1"/>
      <c r="F710" s="1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ht="15.75" customHeight="1" x14ac:dyDescent="0.25">
      <c r="A711" s="1"/>
      <c r="B711" s="1"/>
      <c r="C711" s="1"/>
      <c r="D711" s="1"/>
      <c r="E711" s="1"/>
      <c r="F711" s="1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ht="15.75" customHeight="1" x14ac:dyDescent="0.25">
      <c r="A712" s="1"/>
      <c r="B712" s="1"/>
      <c r="C712" s="1"/>
      <c r="D712" s="1"/>
      <c r="E712" s="1"/>
      <c r="F712" s="1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ht="15.75" customHeight="1" x14ac:dyDescent="0.25">
      <c r="A713" s="1"/>
      <c r="B713" s="1"/>
      <c r="C713" s="1"/>
      <c r="D713" s="1"/>
      <c r="E713" s="1"/>
      <c r="F713" s="1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ht="15.75" customHeight="1" x14ac:dyDescent="0.25">
      <c r="A714" s="1"/>
      <c r="B714" s="1"/>
      <c r="C714" s="1"/>
      <c r="D714" s="1"/>
      <c r="E714" s="1"/>
      <c r="F714" s="1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ht="15.75" customHeight="1" x14ac:dyDescent="0.25">
      <c r="A715" s="1"/>
      <c r="B715" s="1"/>
      <c r="C715" s="1"/>
      <c r="D715" s="1"/>
      <c r="E715" s="1"/>
      <c r="F715" s="1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ht="15.75" customHeight="1" x14ac:dyDescent="0.25">
      <c r="A716" s="1"/>
      <c r="B716" s="1"/>
      <c r="C716" s="1"/>
      <c r="D716" s="1"/>
      <c r="E716" s="1"/>
      <c r="F716" s="1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ht="15.75" customHeight="1" x14ac:dyDescent="0.25">
      <c r="A717" s="1"/>
      <c r="B717" s="1"/>
      <c r="C717" s="1"/>
      <c r="D717" s="1"/>
      <c r="E717" s="1"/>
      <c r="F717" s="1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ht="15.75" customHeight="1" x14ac:dyDescent="0.25">
      <c r="A718" s="1"/>
      <c r="B718" s="1"/>
      <c r="C718" s="1"/>
      <c r="D718" s="1"/>
      <c r="E718" s="1"/>
      <c r="F718" s="1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ht="15.75" customHeight="1" x14ac:dyDescent="0.25">
      <c r="A719" s="1"/>
      <c r="B719" s="1"/>
      <c r="C719" s="1"/>
      <c r="D719" s="1"/>
      <c r="E719" s="1"/>
      <c r="F719" s="1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ht="15.75" customHeight="1" x14ac:dyDescent="0.25">
      <c r="A720" s="1"/>
      <c r="B720" s="1"/>
      <c r="C720" s="1"/>
      <c r="D720" s="1"/>
      <c r="E720" s="1"/>
      <c r="F720" s="1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ht="15.75" customHeight="1" x14ac:dyDescent="0.25">
      <c r="A721" s="1"/>
      <c r="B721" s="1"/>
      <c r="C721" s="1"/>
      <c r="D721" s="1"/>
      <c r="E721" s="1"/>
      <c r="F721" s="1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ht="15.75" customHeight="1" x14ac:dyDescent="0.25">
      <c r="A722" s="1"/>
      <c r="B722" s="1"/>
      <c r="C722" s="1"/>
      <c r="D722" s="1"/>
      <c r="E722" s="1"/>
      <c r="F722" s="1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ht="15.75" customHeight="1" x14ac:dyDescent="0.25">
      <c r="A723" s="1"/>
      <c r="B723" s="1"/>
      <c r="C723" s="1"/>
      <c r="D723" s="1"/>
      <c r="E723" s="1"/>
      <c r="F723" s="1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ht="15.75" customHeight="1" x14ac:dyDescent="0.25">
      <c r="A724" s="1"/>
      <c r="B724" s="1"/>
      <c r="C724" s="1"/>
      <c r="D724" s="1"/>
      <c r="E724" s="1"/>
      <c r="F724" s="1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ht="15.75" customHeight="1" x14ac:dyDescent="0.25">
      <c r="A725" s="1"/>
      <c r="B725" s="1"/>
      <c r="C725" s="1"/>
      <c r="D725" s="1"/>
      <c r="E725" s="1"/>
      <c r="F725" s="1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ht="15.75" customHeight="1" x14ac:dyDescent="0.25">
      <c r="A726" s="1"/>
      <c r="B726" s="1"/>
      <c r="C726" s="1"/>
      <c r="D726" s="1"/>
      <c r="E726" s="1"/>
      <c r="F726" s="1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ht="15.75" customHeight="1" x14ac:dyDescent="0.25">
      <c r="A727" s="1"/>
      <c r="B727" s="1"/>
      <c r="C727" s="1"/>
      <c r="D727" s="1"/>
      <c r="E727" s="1"/>
      <c r="F727" s="1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ht="15.75" customHeight="1" x14ac:dyDescent="0.25">
      <c r="A728" s="1"/>
      <c r="B728" s="1"/>
      <c r="C728" s="1"/>
      <c r="D728" s="1"/>
      <c r="E728" s="1"/>
      <c r="F728" s="1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ht="15.75" customHeight="1" x14ac:dyDescent="0.25">
      <c r="A729" s="1"/>
      <c r="B729" s="1"/>
      <c r="C729" s="1"/>
      <c r="D729" s="1"/>
      <c r="E729" s="1"/>
      <c r="F729" s="1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ht="15.75" customHeight="1" x14ac:dyDescent="0.25">
      <c r="A730" s="1"/>
      <c r="B730" s="1"/>
      <c r="C730" s="1"/>
      <c r="D730" s="1"/>
      <c r="E730" s="1"/>
      <c r="F730" s="1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ht="15.75" customHeight="1" x14ac:dyDescent="0.25">
      <c r="A731" s="1"/>
      <c r="B731" s="1"/>
      <c r="C731" s="1"/>
      <c r="D731" s="1"/>
      <c r="E731" s="1"/>
      <c r="F731" s="1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ht="15.75" customHeight="1" x14ac:dyDescent="0.25">
      <c r="A732" s="1"/>
      <c r="B732" s="1"/>
      <c r="C732" s="1"/>
      <c r="D732" s="1"/>
      <c r="E732" s="1"/>
      <c r="F732" s="1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ht="15.75" customHeight="1" x14ac:dyDescent="0.25">
      <c r="A733" s="1"/>
      <c r="B733" s="1"/>
      <c r="C733" s="1"/>
      <c r="D733" s="1"/>
      <c r="E733" s="1"/>
      <c r="F733" s="1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ht="15.75" customHeight="1" x14ac:dyDescent="0.25">
      <c r="A734" s="1"/>
      <c r="B734" s="1"/>
      <c r="C734" s="1"/>
      <c r="D734" s="1"/>
      <c r="E734" s="1"/>
      <c r="F734" s="1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ht="15.75" customHeight="1" x14ac:dyDescent="0.25">
      <c r="A735" s="1"/>
      <c r="B735" s="1"/>
      <c r="C735" s="1"/>
      <c r="D735" s="1"/>
      <c r="E735" s="1"/>
      <c r="F735" s="1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ht="15.75" customHeight="1" x14ac:dyDescent="0.25">
      <c r="A736" s="1"/>
      <c r="B736" s="1"/>
      <c r="C736" s="1"/>
      <c r="D736" s="1"/>
      <c r="E736" s="1"/>
      <c r="F736" s="1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ht="15.75" customHeight="1" x14ac:dyDescent="0.25">
      <c r="A737" s="1"/>
      <c r="B737" s="1"/>
      <c r="C737" s="1"/>
      <c r="D737" s="1"/>
      <c r="E737" s="1"/>
      <c r="F737" s="1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ht="15.75" customHeight="1" x14ac:dyDescent="0.25">
      <c r="A738" s="1"/>
      <c r="B738" s="1"/>
      <c r="C738" s="1"/>
      <c r="D738" s="1"/>
      <c r="E738" s="1"/>
      <c r="F738" s="1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ht="15.75" customHeight="1" x14ac:dyDescent="0.25">
      <c r="A739" s="1"/>
      <c r="B739" s="1"/>
      <c r="C739" s="1"/>
      <c r="D739" s="1"/>
      <c r="E739" s="1"/>
      <c r="F739" s="1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ht="15.75" customHeight="1" x14ac:dyDescent="0.25">
      <c r="A740" s="1"/>
      <c r="B740" s="1"/>
      <c r="C740" s="1"/>
      <c r="D740" s="1"/>
      <c r="E740" s="1"/>
      <c r="F740" s="1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ht="15.75" customHeight="1" x14ac:dyDescent="0.25">
      <c r="A741" s="1"/>
      <c r="B741" s="1"/>
      <c r="C741" s="1"/>
      <c r="D741" s="1"/>
      <c r="E741" s="1"/>
      <c r="F741" s="1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ht="15.75" customHeight="1" x14ac:dyDescent="0.25">
      <c r="A742" s="1"/>
      <c r="B742" s="1"/>
      <c r="C742" s="1"/>
      <c r="D742" s="1"/>
      <c r="E742" s="1"/>
      <c r="F742" s="1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ht="15.75" customHeight="1" x14ac:dyDescent="0.25">
      <c r="A743" s="1"/>
      <c r="B743" s="1"/>
      <c r="C743" s="1"/>
      <c r="D743" s="1"/>
      <c r="E743" s="1"/>
      <c r="F743" s="1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ht="15.75" customHeight="1" x14ac:dyDescent="0.25">
      <c r="A744" s="1"/>
      <c r="B744" s="1"/>
      <c r="C744" s="1"/>
      <c r="D744" s="1"/>
      <c r="E744" s="1"/>
      <c r="F744" s="1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ht="15.75" customHeight="1" x14ac:dyDescent="0.25">
      <c r="A745" s="1"/>
      <c r="B745" s="1"/>
      <c r="C745" s="1"/>
      <c r="D745" s="1"/>
      <c r="E745" s="1"/>
      <c r="F745" s="1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ht="15.75" customHeight="1" x14ac:dyDescent="0.25">
      <c r="A746" s="1"/>
      <c r="B746" s="1"/>
      <c r="C746" s="1"/>
      <c r="D746" s="1"/>
      <c r="E746" s="1"/>
      <c r="F746" s="1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ht="15.75" customHeight="1" x14ac:dyDescent="0.25">
      <c r="A747" s="1"/>
      <c r="B747" s="1"/>
      <c r="C747" s="1"/>
      <c r="D747" s="1"/>
      <c r="E747" s="1"/>
      <c r="F747" s="1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ht="15.75" customHeight="1" x14ac:dyDescent="0.25">
      <c r="A748" s="1"/>
      <c r="B748" s="1"/>
      <c r="C748" s="1"/>
      <c r="D748" s="1"/>
      <c r="E748" s="1"/>
      <c r="F748" s="1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ht="15.75" customHeight="1" x14ac:dyDescent="0.25">
      <c r="A749" s="1"/>
      <c r="B749" s="1"/>
      <c r="C749" s="1"/>
      <c r="D749" s="1"/>
      <c r="E749" s="1"/>
      <c r="F749" s="1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ht="15.75" customHeight="1" x14ac:dyDescent="0.25">
      <c r="A750" s="1"/>
      <c r="B750" s="1"/>
      <c r="C750" s="1"/>
      <c r="D750" s="1"/>
      <c r="E750" s="1"/>
      <c r="F750" s="1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ht="15.75" customHeight="1" x14ac:dyDescent="0.25">
      <c r="A751" s="1"/>
      <c r="B751" s="1"/>
      <c r="C751" s="1"/>
      <c r="D751" s="1"/>
      <c r="E751" s="1"/>
      <c r="F751" s="1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ht="15.75" customHeight="1" x14ac:dyDescent="0.25">
      <c r="A752" s="1"/>
      <c r="B752" s="1"/>
      <c r="C752" s="1"/>
      <c r="D752" s="1"/>
      <c r="E752" s="1"/>
      <c r="F752" s="1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ht="15.75" customHeight="1" x14ac:dyDescent="0.25">
      <c r="A753" s="1"/>
      <c r="B753" s="1"/>
      <c r="C753" s="1"/>
      <c r="D753" s="1"/>
      <c r="E753" s="1"/>
      <c r="F753" s="1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ht="15.75" customHeight="1" x14ac:dyDescent="0.25">
      <c r="A754" s="1"/>
      <c r="B754" s="1"/>
      <c r="C754" s="1"/>
      <c r="D754" s="1"/>
      <c r="E754" s="1"/>
      <c r="F754" s="1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ht="15.75" customHeight="1" x14ac:dyDescent="0.25">
      <c r="A755" s="1"/>
      <c r="B755" s="1"/>
      <c r="C755" s="1"/>
      <c r="D755" s="1"/>
      <c r="E755" s="1"/>
      <c r="F755" s="1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ht="15.75" customHeight="1" x14ac:dyDescent="0.25">
      <c r="A756" s="1"/>
      <c r="B756" s="1"/>
      <c r="C756" s="1"/>
      <c r="D756" s="1"/>
      <c r="E756" s="1"/>
      <c r="F756" s="1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ht="15.75" customHeight="1" x14ac:dyDescent="0.25">
      <c r="A757" s="1"/>
      <c r="B757" s="1"/>
      <c r="C757" s="1"/>
      <c r="D757" s="1"/>
      <c r="E757" s="1"/>
      <c r="F757" s="1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ht="15.75" customHeight="1" x14ac:dyDescent="0.25">
      <c r="A758" s="1"/>
      <c r="B758" s="1"/>
      <c r="C758" s="1"/>
      <c r="D758" s="1"/>
      <c r="E758" s="1"/>
      <c r="F758" s="1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ht="15.75" customHeight="1" x14ac:dyDescent="0.25">
      <c r="A759" s="1"/>
      <c r="B759" s="1"/>
      <c r="C759" s="1"/>
      <c r="D759" s="1"/>
      <c r="E759" s="1"/>
      <c r="F759" s="1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ht="15.75" customHeight="1" x14ac:dyDescent="0.25">
      <c r="A760" s="1"/>
      <c r="B760" s="1"/>
      <c r="C760" s="1"/>
      <c r="D760" s="1"/>
      <c r="E760" s="1"/>
      <c r="F760" s="1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ht="15.75" customHeight="1" x14ac:dyDescent="0.25">
      <c r="A761" s="1"/>
      <c r="B761" s="1"/>
      <c r="C761" s="1"/>
      <c r="D761" s="1"/>
      <c r="E761" s="1"/>
      <c r="F761" s="1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ht="15.75" customHeight="1" x14ac:dyDescent="0.25">
      <c r="A762" s="1"/>
      <c r="B762" s="1"/>
      <c r="C762" s="1"/>
      <c r="D762" s="1"/>
      <c r="E762" s="1"/>
      <c r="F762" s="1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ht="15.75" customHeight="1" x14ac:dyDescent="0.25">
      <c r="A763" s="1"/>
      <c r="B763" s="1"/>
      <c r="C763" s="1"/>
      <c r="D763" s="1"/>
      <c r="E763" s="1"/>
      <c r="F763" s="1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ht="15.75" customHeight="1" x14ac:dyDescent="0.25">
      <c r="A764" s="1"/>
      <c r="B764" s="1"/>
      <c r="C764" s="1"/>
      <c r="D764" s="1"/>
      <c r="E764" s="1"/>
      <c r="F764" s="1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ht="15.75" customHeight="1" x14ac:dyDescent="0.25">
      <c r="A765" s="1"/>
      <c r="B765" s="1"/>
      <c r="C765" s="1"/>
      <c r="D765" s="1"/>
      <c r="E765" s="1"/>
      <c r="F765" s="1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ht="15.75" customHeight="1" x14ac:dyDescent="0.25">
      <c r="A766" s="1"/>
      <c r="B766" s="1"/>
      <c r="C766" s="1"/>
      <c r="D766" s="1"/>
      <c r="E766" s="1"/>
      <c r="F766" s="1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ht="15.75" customHeight="1" x14ac:dyDescent="0.25">
      <c r="A767" s="1"/>
      <c r="B767" s="1"/>
      <c r="C767" s="1"/>
      <c r="D767" s="1"/>
      <c r="E767" s="1"/>
      <c r="F767" s="1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ht="15.75" customHeight="1" x14ac:dyDescent="0.25">
      <c r="A768" s="1"/>
      <c r="B768" s="1"/>
      <c r="C768" s="1"/>
      <c r="D768" s="1"/>
      <c r="E768" s="1"/>
      <c r="F768" s="1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ht="15.75" customHeight="1" x14ac:dyDescent="0.25">
      <c r="A769" s="1"/>
      <c r="B769" s="1"/>
      <c r="C769" s="1"/>
      <c r="D769" s="1"/>
      <c r="E769" s="1"/>
      <c r="F769" s="1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ht="15.75" customHeight="1" x14ac:dyDescent="0.25">
      <c r="A770" s="1"/>
      <c r="B770" s="1"/>
      <c r="C770" s="1"/>
      <c r="D770" s="1"/>
      <c r="E770" s="1"/>
      <c r="F770" s="1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ht="15.75" customHeight="1" x14ac:dyDescent="0.25">
      <c r="A771" s="1"/>
      <c r="B771" s="1"/>
      <c r="C771" s="1"/>
      <c r="D771" s="1"/>
      <c r="E771" s="1"/>
      <c r="F771" s="1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ht="15.75" customHeight="1" x14ac:dyDescent="0.25">
      <c r="A772" s="1"/>
      <c r="B772" s="1"/>
      <c r="C772" s="1"/>
      <c r="D772" s="1"/>
      <c r="E772" s="1"/>
      <c r="F772" s="1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ht="15.75" customHeight="1" x14ac:dyDescent="0.25">
      <c r="A773" s="1"/>
      <c r="B773" s="1"/>
      <c r="C773" s="1"/>
      <c r="D773" s="1"/>
      <c r="E773" s="1"/>
      <c r="F773" s="1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ht="15.75" customHeight="1" x14ac:dyDescent="0.25">
      <c r="A774" s="1"/>
      <c r="B774" s="1"/>
      <c r="C774" s="1"/>
      <c r="D774" s="1"/>
      <c r="E774" s="1"/>
      <c r="F774" s="1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ht="15.75" customHeight="1" x14ac:dyDescent="0.25">
      <c r="A775" s="1"/>
      <c r="B775" s="1"/>
      <c r="C775" s="1"/>
      <c r="D775" s="1"/>
      <c r="E775" s="1"/>
      <c r="F775" s="1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ht="15.75" customHeight="1" x14ac:dyDescent="0.25">
      <c r="A776" s="1"/>
      <c r="B776" s="1"/>
      <c r="C776" s="1"/>
      <c r="D776" s="1"/>
      <c r="E776" s="1"/>
      <c r="F776" s="1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ht="15.75" customHeight="1" x14ac:dyDescent="0.25">
      <c r="A777" s="1"/>
      <c r="B777" s="1"/>
      <c r="C777" s="1"/>
      <c r="D777" s="1"/>
      <c r="E777" s="1"/>
      <c r="F777" s="1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ht="15.75" customHeight="1" x14ac:dyDescent="0.25">
      <c r="A778" s="1"/>
      <c r="B778" s="1"/>
      <c r="C778" s="1"/>
      <c r="D778" s="1"/>
      <c r="E778" s="1"/>
      <c r="F778" s="1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ht="15.75" customHeight="1" x14ac:dyDescent="0.25">
      <c r="A779" s="1"/>
      <c r="B779" s="1"/>
      <c r="C779" s="1"/>
      <c r="D779" s="1"/>
      <c r="E779" s="1"/>
      <c r="F779" s="1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ht="15.75" customHeight="1" x14ac:dyDescent="0.25">
      <c r="A780" s="1"/>
      <c r="B780" s="1"/>
      <c r="C780" s="1"/>
      <c r="D780" s="1"/>
      <c r="E780" s="1"/>
      <c r="F780" s="1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ht="15.75" customHeight="1" x14ac:dyDescent="0.25">
      <c r="A781" s="1"/>
      <c r="B781" s="1"/>
      <c r="C781" s="1"/>
      <c r="D781" s="1"/>
      <c r="E781" s="1"/>
      <c r="F781" s="1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ht="15.75" customHeight="1" x14ac:dyDescent="0.25">
      <c r="A782" s="1"/>
      <c r="B782" s="1"/>
      <c r="C782" s="1"/>
      <c r="D782" s="1"/>
      <c r="E782" s="1"/>
      <c r="F782" s="1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ht="15.75" customHeight="1" x14ac:dyDescent="0.25">
      <c r="A783" s="1"/>
      <c r="B783" s="1"/>
      <c r="C783" s="1"/>
      <c r="D783" s="1"/>
      <c r="E783" s="1"/>
      <c r="F783" s="1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ht="15.75" customHeight="1" x14ac:dyDescent="0.25">
      <c r="A784" s="1"/>
      <c r="B784" s="1"/>
      <c r="C784" s="1"/>
      <c r="D784" s="1"/>
      <c r="E784" s="1"/>
      <c r="F784" s="1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ht="15.75" customHeight="1" x14ac:dyDescent="0.25">
      <c r="A785" s="1"/>
      <c r="B785" s="1"/>
      <c r="C785" s="1"/>
      <c r="D785" s="1"/>
      <c r="E785" s="1"/>
      <c r="F785" s="1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ht="15.75" customHeight="1" x14ac:dyDescent="0.25">
      <c r="A786" s="1"/>
      <c r="B786" s="1"/>
      <c r="C786" s="1"/>
      <c r="D786" s="1"/>
      <c r="E786" s="1"/>
      <c r="F786" s="1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ht="15.75" customHeight="1" x14ac:dyDescent="0.25">
      <c r="A787" s="1"/>
      <c r="B787" s="1"/>
      <c r="C787" s="1"/>
      <c r="D787" s="1"/>
      <c r="E787" s="1"/>
      <c r="F787" s="1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ht="15.75" customHeight="1" x14ac:dyDescent="0.25">
      <c r="A788" s="1"/>
      <c r="B788" s="1"/>
      <c r="C788" s="1"/>
      <c r="D788" s="1"/>
      <c r="E788" s="1"/>
      <c r="F788" s="1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ht="15.75" customHeight="1" x14ac:dyDescent="0.25">
      <c r="A789" s="1"/>
      <c r="B789" s="1"/>
      <c r="C789" s="1"/>
      <c r="D789" s="1"/>
      <c r="E789" s="1"/>
      <c r="F789" s="1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ht="15.75" customHeight="1" x14ac:dyDescent="0.25">
      <c r="A790" s="1"/>
      <c r="B790" s="1"/>
      <c r="C790" s="1"/>
      <c r="D790" s="1"/>
      <c r="E790" s="1"/>
      <c r="F790" s="1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ht="15.75" customHeight="1" x14ac:dyDescent="0.25">
      <c r="A791" s="1"/>
      <c r="B791" s="1"/>
      <c r="C791" s="1"/>
      <c r="D791" s="1"/>
      <c r="E791" s="1"/>
      <c r="F791" s="1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ht="15.75" customHeight="1" x14ac:dyDescent="0.25">
      <c r="A792" s="1"/>
      <c r="B792" s="1"/>
      <c r="C792" s="1"/>
      <c r="D792" s="1"/>
      <c r="E792" s="1"/>
      <c r="F792" s="1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ht="15.75" customHeight="1" x14ac:dyDescent="0.25">
      <c r="A793" s="1"/>
      <c r="B793" s="1"/>
      <c r="C793" s="1"/>
      <c r="D793" s="1"/>
      <c r="E793" s="1"/>
      <c r="F793" s="1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ht="15.75" customHeight="1" x14ac:dyDescent="0.25">
      <c r="A794" s="1"/>
      <c r="B794" s="1"/>
      <c r="C794" s="1"/>
      <c r="D794" s="1"/>
      <c r="E794" s="1"/>
      <c r="F794" s="1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ht="15.75" customHeight="1" x14ac:dyDescent="0.25">
      <c r="A795" s="1"/>
      <c r="B795" s="1"/>
      <c r="C795" s="1"/>
      <c r="D795" s="1"/>
      <c r="E795" s="1"/>
      <c r="F795" s="1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ht="15.75" customHeight="1" x14ac:dyDescent="0.25">
      <c r="A796" s="1"/>
      <c r="B796" s="1"/>
      <c r="C796" s="1"/>
      <c r="D796" s="1"/>
      <c r="E796" s="1"/>
      <c r="F796" s="1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ht="15.75" customHeight="1" x14ac:dyDescent="0.25">
      <c r="A797" s="1"/>
      <c r="B797" s="1"/>
      <c r="C797" s="1"/>
      <c r="D797" s="1"/>
      <c r="E797" s="1"/>
      <c r="F797" s="1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ht="15.75" customHeight="1" x14ac:dyDescent="0.25">
      <c r="A798" s="1"/>
      <c r="B798" s="1"/>
      <c r="C798" s="1"/>
      <c r="D798" s="1"/>
      <c r="E798" s="1"/>
      <c r="F798" s="1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ht="15.75" customHeight="1" x14ac:dyDescent="0.25">
      <c r="A799" s="1"/>
      <c r="B799" s="1"/>
      <c r="C799" s="1"/>
      <c r="D799" s="1"/>
      <c r="E799" s="1"/>
      <c r="F799" s="1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ht="15.75" customHeight="1" x14ac:dyDescent="0.25">
      <c r="A800" s="1"/>
      <c r="B800" s="1"/>
      <c r="C800" s="1"/>
      <c r="D800" s="1"/>
      <c r="E800" s="1"/>
      <c r="F800" s="1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ht="15.75" customHeight="1" x14ac:dyDescent="0.25">
      <c r="A801" s="1"/>
      <c r="B801" s="1"/>
      <c r="C801" s="1"/>
      <c r="D801" s="1"/>
      <c r="E801" s="1"/>
      <c r="F801" s="1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ht="15.75" customHeight="1" x14ac:dyDescent="0.25">
      <c r="A802" s="1"/>
      <c r="B802" s="1"/>
      <c r="C802" s="1"/>
      <c r="D802" s="1"/>
      <c r="E802" s="1"/>
      <c r="F802" s="1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ht="15.75" customHeight="1" x14ac:dyDescent="0.25">
      <c r="A803" s="1"/>
      <c r="B803" s="1"/>
      <c r="C803" s="1"/>
      <c r="D803" s="1"/>
      <c r="E803" s="1"/>
      <c r="F803" s="1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ht="15.75" customHeight="1" x14ac:dyDescent="0.25">
      <c r="A804" s="1"/>
      <c r="B804" s="1"/>
      <c r="C804" s="1"/>
      <c r="D804" s="1"/>
      <c r="E804" s="1"/>
      <c r="F804" s="1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ht="15.75" customHeight="1" x14ac:dyDescent="0.25">
      <c r="A805" s="1"/>
      <c r="B805" s="1"/>
      <c r="C805" s="1"/>
      <c r="D805" s="1"/>
      <c r="E805" s="1"/>
      <c r="F805" s="1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ht="15.75" customHeight="1" x14ac:dyDescent="0.25">
      <c r="A806" s="1"/>
      <c r="B806" s="1"/>
      <c r="C806" s="1"/>
      <c r="D806" s="1"/>
      <c r="E806" s="1"/>
      <c r="F806" s="1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ht="15.75" customHeight="1" x14ac:dyDescent="0.25">
      <c r="A807" s="1"/>
      <c r="B807" s="1"/>
      <c r="C807" s="1"/>
      <c r="D807" s="1"/>
      <c r="E807" s="1"/>
      <c r="F807" s="1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ht="15.75" customHeight="1" x14ac:dyDescent="0.25">
      <c r="A808" s="1"/>
      <c r="B808" s="1"/>
      <c r="C808" s="1"/>
      <c r="D808" s="1"/>
      <c r="E808" s="1"/>
      <c r="F808" s="1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ht="15.75" customHeight="1" x14ac:dyDescent="0.25">
      <c r="A809" s="1"/>
      <c r="B809" s="1"/>
      <c r="C809" s="1"/>
      <c r="D809" s="1"/>
      <c r="E809" s="1"/>
      <c r="F809" s="1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ht="15.75" customHeight="1" x14ac:dyDescent="0.25">
      <c r="A810" s="1"/>
      <c r="B810" s="1"/>
      <c r="C810" s="1"/>
      <c r="D810" s="1"/>
      <c r="E810" s="1"/>
      <c r="F810" s="1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ht="15.75" customHeight="1" x14ac:dyDescent="0.25">
      <c r="A811" s="1"/>
      <c r="B811" s="1"/>
      <c r="C811" s="1"/>
      <c r="D811" s="1"/>
      <c r="E811" s="1"/>
      <c r="F811" s="1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ht="15.75" customHeight="1" x14ac:dyDescent="0.25">
      <c r="A812" s="1"/>
      <c r="B812" s="1"/>
      <c r="C812" s="1"/>
      <c r="D812" s="1"/>
      <c r="E812" s="1"/>
      <c r="F812" s="1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ht="15.75" customHeight="1" x14ac:dyDescent="0.25">
      <c r="A813" s="1"/>
      <c r="B813" s="1"/>
      <c r="C813" s="1"/>
      <c r="D813" s="1"/>
      <c r="E813" s="1"/>
      <c r="F813" s="1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ht="15.75" customHeight="1" x14ac:dyDescent="0.25">
      <c r="A814" s="1"/>
      <c r="B814" s="1"/>
      <c r="C814" s="1"/>
      <c r="D814" s="1"/>
      <c r="E814" s="1"/>
      <c r="F814" s="1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ht="15.75" customHeight="1" x14ac:dyDescent="0.25">
      <c r="A815" s="1"/>
      <c r="B815" s="1"/>
      <c r="C815" s="1"/>
      <c r="D815" s="1"/>
      <c r="E815" s="1"/>
      <c r="F815" s="1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ht="15.75" customHeight="1" x14ac:dyDescent="0.25">
      <c r="A816" s="1"/>
      <c r="B816" s="1"/>
      <c r="C816" s="1"/>
      <c r="D816" s="1"/>
      <c r="E816" s="1"/>
      <c r="F816" s="1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ht="15.75" customHeight="1" x14ac:dyDescent="0.25">
      <c r="A817" s="1"/>
      <c r="B817" s="1"/>
      <c r="C817" s="1"/>
      <c r="D817" s="1"/>
      <c r="E817" s="1"/>
      <c r="F817" s="1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ht="15.75" customHeight="1" x14ac:dyDescent="0.25">
      <c r="A818" s="1"/>
      <c r="B818" s="1"/>
      <c r="C818" s="1"/>
      <c r="D818" s="1"/>
      <c r="E818" s="1"/>
      <c r="F818" s="1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ht="15.75" customHeight="1" x14ac:dyDescent="0.25">
      <c r="A819" s="1"/>
      <c r="B819" s="1"/>
      <c r="C819" s="1"/>
      <c r="D819" s="1"/>
      <c r="E819" s="1"/>
      <c r="F819" s="1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ht="15.75" customHeight="1" x14ac:dyDescent="0.25">
      <c r="A820" s="1"/>
      <c r="B820" s="1"/>
      <c r="C820" s="1"/>
      <c r="D820" s="1"/>
      <c r="E820" s="1"/>
      <c r="F820" s="1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ht="15.75" customHeight="1" x14ac:dyDescent="0.25">
      <c r="A821" s="1"/>
      <c r="B821" s="1"/>
      <c r="C821" s="1"/>
      <c r="D821" s="1"/>
      <c r="E821" s="1"/>
      <c r="F821" s="1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ht="15.75" customHeight="1" x14ac:dyDescent="0.25">
      <c r="A822" s="1"/>
      <c r="B822" s="1"/>
      <c r="C822" s="1"/>
      <c r="D822" s="1"/>
      <c r="E822" s="1"/>
      <c r="F822" s="1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ht="15.75" customHeight="1" x14ac:dyDescent="0.25">
      <c r="A823" s="1"/>
      <c r="B823" s="1"/>
      <c r="C823" s="1"/>
      <c r="D823" s="1"/>
      <c r="E823" s="1"/>
      <c r="F823" s="1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ht="15.75" customHeight="1" x14ac:dyDescent="0.25">
      <c r="A824" s="1"/>
      <c r="B824" s="1"/>
      <c r="C824" s="1"/>
      <c r="D824" s="1"/>
      <c r="E824" s="1"/>
      <c r="F824" s="1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ht="15.75" customHeight="1" x14ac:dyDescent="0.25">
      <c r="A825" s="1"/>
      <c r="B825" s="1"/>
      <c r="C825" s="1"/>
      <c r="D825" s="1"/>
      <c r="E825" s="1"/>
      <c r="F825" s="1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ht="15.75" customHeight="1" x14ac:dyDescent="0.25">
      <c r="A826" s="1"/>
      <c r="B826" s="1"/>
      <c r="C826" s="1"/>
      <c r="D826" s="1"/>
      <c r="E826" s="1"/>
      <c r="F826" s="1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ht="15.75" customHeight="1" x14ac:dyDescent="0.25">
      <c r="A827" s="1"/>
      <c r="B827" s="1"/>
      <c r="C827" s="1"/>
      <c r="D827" s="1"/>
      <c r="E827" s="1"/>
      <c r="F827" s="1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ht="15.75" customHeight="1" x14ac:dyDescent="0.25">
      <c r="A828" s="1"/>
      <c r="B828" s="1"/>
      <c r="C828" s="1"/>
      <c r="D828" s="1"/>
      <c r="E828" s="1"/>
      <c r="F828" s="1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ht="15.75" customHeight="1" x14ac:dyDescent="0.25">
      <c r="A829" s="1"/>
      <c r="B829" s="1"/>
      <c r="C829" s="1"/>
      <c r="D829" s="1"/>
      <c r="E829" s="1"/>
      <c r="F829" s="1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ht="15.75" customHeight="1" x14ac:dyDescent="0.25">
      <c r="A830" s="1"/>
      <c r="B830" s="1"/>
      <c r="C830" s="1"/>
      <c r="D830" s="1"/>
      <c r="E830" s="1"/>
      <c r="F830" s="1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ht="15.75" customHeight="1" x14ac:dyDescent="0.25">
      <c r="A831" s="1"/>
      <c r="B831" s="1"/>
      <c r="C831" s="1"/>
      <c r="D831" s="1"/>
      <c r="E831" s="1"/>
      <c r="F831" s="1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ht="15.75" customHeight="1" x14ac:dyDescent="0.25">
      <c r="A832" s="1"/>
      <c r="B832" s="1"/>
      <c r="C832" s="1"/>
      <c r="D832" s="1"/>
      <c r="E832" s="1"/>
      <c r="F832" s="1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ht="15.75" customHeight="1" x14ac:dyDescent="0.25">
      <c r="A833" s="1"/>
      <c r="B833" s="1"/>
      <c r="C833" s="1"/>
      <c r="D833" s="1"/>
      <c r="E833" s="1"/>
      <c r="F833" s="1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ht="15.75" customHeight="1" x14ac:dyDescent="0.25">
      <c r="A834" s="1"/>
      <c r="B834" s="1"/>
      <c r="C834" s="1"/>
      <c r="D834" s="1"/>
      <c r="E834" s="1"/>
      <c r="F834" s="1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ht="15.75" customHeight="1" x14ac:dyDescent="0.25">
      <c r="A835" s="1"/>
      <c r="B835" s="1"/>
      <c r="C835" s="1"/>
      <c r="D835" s="1"/>
      <c r="E835" s="1"/>
      <c r="F835" s="1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ht="15.75" customHeight="1" x14ac:dyDescent="0.25">
      <c r="A836" s="1"/>
      <c r="B836" s="1"/>
      <c r="C836" s="1"/>
      <c r="D836" s="1"/>
      <c r="E836" s="1"/>
      <c r="F836" s="1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ht="15.75" customHeight="1" x14ac:dyDescent="0.25">
      <c r="A837" s="1"/>
      <c r="B837" s="1"/>
      <c r="C837" s="1"/>
      <c r="D837" s="1"/>
      <c r="E837" s="1"/>
      <c r="F837" s="1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ht="15.75" customHeight="1" x14ac:dyDescent="0.25">
      <c r="A838" s="1"/>
      <c r="B838" s="1"/>
      <c r="C838" s="1"/>
      <c r="D838" s="1"/>
      <c r="E838" s="1"/>
      <c r="F838" s="1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ht="15.75" customHeight="1" x14ac:dyDescent="0.25">
      <c r="A839" s="1"/>
      <c r="B839" s="1"/>
      <c r="C839" s="1"/>
      <c r="D839" s="1"/>
      <c r="E839" s="1"/>
      <c r="F839" s="1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ht="15.75" customHeight="1" x14ac:dyDescent="0.25">
      <c r="A840" s="1"/>
      <c r="B840" s="1"/>
      <c r="C840" s="1"/>
      <c r="D840" s="1"/>
      <c r="E840" s="1"/>
      <c r="F840" s="1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ht="15.75" customHeight="1" x14ac:dyDescent="0.25">
      <c r="A841" s="1"/>
      <c r="B841" s="1"/>
      <c r="C841" s="1"/>
      <c r="D841" s="1"/>
      <c r="E841" s="1"/>
      <c r="F841" s="1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ht="15.75" customHeight="1" x14ac:dyDescent="0.25">
      <c r="A842" s="1"/>
      <c r="B842" s="1"/>
      <c r="C842" s="1"/>
      <c r="D842" s="1"/>
      <c r="E842" s="1"/>
      <c r="F842" s="1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ht="15.75" customHeight="1" x14ac:dyDescent="0.25">
      <c r="A843" s="1"/>
      <c r="B843" s="1"/>
      <c r="C843" s="1"/>
      <c r="D843" s="1"/>
      <c r="E843" s="1"/>
      <c r="F843" s="1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ht="15.75" customHeight="1" x14ac:dyDescent="0.25">
      <c r="A844" s="1"/>
      <c r="B844" s="1"/>
      <c r="C844" s="1"/>
      <c r="D844" s="1"/>
      <c r="E844" s="1"/>
      <c r="F844" s="1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ht="15.75" customHeight="1" x14ac:dyDescent="0.25">
      <c r="A845" s="1"/>
      <c r="B845" s="1"/>
      <c r="C845" s="1"/>
      <c r="D845" s="1"/>
      <c r="E845" s="1"/>
      <c r="F845" s="1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ht="15.75" customHeight="1" x14ac:dyDescent="0.25">
      <c r="A846" s="1"/>
      <c r="B846" s="1"/>
      <c r="C846" s="1"/>
      <c r="D846" s="1"/>
      <c r="E846" s="1"/>
      <c r="F846" s="1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ht="15.75" customHeight="1" x14ac:dyDescent="0.25">
      <c r="A847" s="1"/>
      <c r="B847" s="1"/>
      <c r="C847" s="1"/>
      <c r="D847" s="1"/>
      <c r="E847" s="1"/>
      <c r="F847" s="1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ht="15.75" customHeight="1" x14ac:dyDescent="0.25">
      <c r="A848" s="1"/>
      <c r="B848" s="1"/>
      <c r="C848" s="1"/>
      <c r="D848" s="1"/>
      <c r="E848" s="1"/>
      <c r="F848" s="1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ht="15.75" customHeight="1" x14ac:dyDescent="0.25">
      <c r="A849" s="1"/>
      <c r="B849" s="1"/>
      <c r="C849" s="1"/>
      <c r="D849" s="1"/>
      <c r="E849" s="1"/>
      <c r="F849" s="1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ht="15.75" customHeight="1" x14ac:dyDescent="0.25">
      <c r="A850" s="1"/>
      <c r="B850" s="1"/>
      <c r="C850" s="1"/>
      <c r="D850" s="1"/>
      <c r="E850" s="1"/>
      <c r="F850" s="1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ht="15.75" customHeight="1" x14ac:dyDescent="0.25">
      <c r="A851" s="1"/>
      <c r="B851" s="1"/>
      <c r="C851" s="1"/>
      <c r="D851" s="1"/>
      <c r="E851" s="1"/>
      <c r="F851" s="1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ht="15.75" customHeight="1" x14ac:dyDescent="0.25">
      <c r="A852" s="1"/>
      <c r="B852" s="1"/>
      <c r="C852" s="1"/>
      <c r="D852" s="1"/>
      <c r="E852" s="1"/>
      <c r="F852" s="1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ht="15.75" customHeight="1" x14ac:dyDescent="0.25">
      <c r="A853" s="1"/>
      <c r="B853" s="1"/>
      <c r="C853" s="1"/>
      <c r="D853" s="1"/>
      <c r="E853" s="1"/>
      <c r="F853" s="1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ht="15.75" customHeight="1" x14ac:dyDescent="0.25">
      <c r="A854" s="1"/>
      <c r="B854" s="1"/>
      <c r="C854" s="1"/>
      <c r="D854" s="1"/>
      <c r="E854" s="1"/>
      <c r="F854" s="1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ht="15.75" customHeight="1" x14ac:dyDescent="0.25">
      <c r="A855" s="1"/>
      <c r="B855" s="1"/>
      <c r="C855" s="1"/>
      <c r="D855" s="1"/>
      <c r="E855" s="1"/>
      <c r="F855" s="1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ht="15.75" customHeight="1" x14ac:dyDescent="0.25">
      <c r="A856" s="1"/>
      <c r="B856" s="1"/>
      <c r="C856" s="1"/>
      <c r="D856" s="1"/>
      <c r="E856" s="1"/>
      <c r="F856" s="1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ht="15.75" customHeight="1" x14ac:dyDescent="0.25">
      <c r="A857" s="1"/>
      <c r="B857" s="1"/>
      <c r="C857" s="1"/>
      <c r="D857" s="1"/>
      <c r="E857" s="1"/>
      <c r="F857" s="1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ht="15.75" customHeight="1" x14ac:dyDescent="0.25">
      <c r="A858" s="1"/>
      <c r="B858" s="1"/>
      <c r="C858" s="1"/>
      <c r="D858" s="1"/>
      <c r="E858" s="1"/>
      <c r="F858" s="1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ht="15.75" customHeight="1" x14ac:dyDescent="0.25">
      <c r="A859" s="1"/>
      <c r="B859" s="1"/>
      <c r="C859" s="1"/>
      <c r="D859" s="1"/>
      <c r="E859" s="1"/>
      <c r="F859" s="1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ht="15.75" customHeight="1" x14ac:dyDescent="0.25">
      <c r="A860" s="1"/>
      <c r="B860" s="1"/>
      <c r="C860" s="1"/>
      <c r="D860" s="1"/>
      <c r="E860" s="1"/>
      <c r="F860" s="1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ht="15.75" customHeight="1" x14ac:dyDescent="0.25">
      <c r="A861" s="1"/>
      <c r="B861" s="1"/>
      <c r="C861" s="1"/>
      <c r="D861" s="1"/>
      <c r="E861" s="1"/>
      <c r="F861" s="1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ht="15.75" customHeight="1" x14ac:dyDescent="0.25">
      <c r="A862" s="1"/>
      <c r="B862" s="1"/>
      <c r="C862" s="1"/>
      <c r="D862" s="1"/>
      <c r="E862" s="1"/>
      <c r="F862" s="1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ht="15.75" customHeight="1" x14ac:dyDescent="0.25">
      <c r="A863" s="1"/>
      <c r="B863" s="1"/>
      <c r="C863" s="1"/>
      <c r="D863" s="1"/>
      <c r="E863" s="1"/>
      <c r="F863" s="1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ht="15.75" customHeight="1" x14ac:dyDescent="0.25">
      <c r="A864" s="1"/>
      <c r="B864" s="1"/>
      <c r="C864" s="1"/>
      <c r="D864" s="1"/>
      <c r="E864" s="1"/>
      <c r="F864" s="1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ht="15.75" customHeight="1" x14ac:dyDescent="0.25">
      <c r="A865" s="1"/>
      <c r="B865" s="1"/>
      <c r="C865" s="1"/>
      <c r="D865" s="1"/>
      <c r="E865" s="1"/>
      <c r="F865" s="1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ht="15.75" customHeight="1" x14ac:dyDescent="0.25">
      <c r="A866" s="1"/>
      <c r="B866" s="1"/>
      <c r="C866" s="1"/>
      <c r="D866" s="1"/>
      <c r="E866" s="1"/>
      <c r="F866" s="1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ht="15.75" customHeight="1" x14ac:dyDescent="0.25">
      <c r="A867" s="1"/>
      <c r="B867" s="1"/>
      <c r="C867" s="1"/>
      <c r="D867" s="1"/>
      <c r="E867" s="1"/>
      <c r="F867" s="1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ht="15.75" customHeight="1" x14ac:dyDescent="0.25">
      <c r="A868" s="1"/>
      <c r="B868" s="1"/>
      <c r="C868" s="1"/>
      <c r="D868" s="1"/>
      <c r="E868" s="1"/>
      <c r="F868" s="1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ht="15.75" customHeight="1" x14ac:dyDescent="0.25">
      <c r="A869" s="1"/>
      <c r="B869" s="1"/>
      <c r="C869" s="1"/>
      <c r="D869" s="1"/>
      <c r="E869" s="1"/>
      <c r="F869" s="1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ht="15.75" customHeight="1" x14ac:dyDescent="0.25">
      <c r="A870" s="1"/>
      <c r="B870" s="1"/>
      <c r="C870" s="1"/>
      <c r="D870" s="1"/>
      <c r="E870" s="1"/>
      <c r="F870" s="1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ht="15.75" customHeight="1" x14ac:dyDescent="0.25">
      <c r="A871" s="1"/>
      <c r="B871" s="1"/>
      <c r="C871" s="1"/>
      <c r="D871" s="1"/>
      <c r="E871" s="1"/>
      <c r="F871" s="1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ht="15.75" customHeight="1" x14ac:dyDescent="0.25">
      <c r="A872" s="1"/>
      <c r="B872" s="1"/>
      <c r="C872" s="1"/>
      <c r="D872" s="1"/>
      <c r="E872" s="1"/>
      <c r="F872" s="1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ht="15.75" customHeight="1" x14ac:dyDescent="0.25">
      <c r="A873" s="1"/>
      <c r="B873" s="1"/>
      <c r="C873" s="1"/>
      <c r="D873" s="1"/>
      <c r="E873" s="1"/>
      <c r="F873" s="1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ht="15.75" customHeight="1" x14ac:dyDescent="0.25">
      <c r="A874" s="1"/>
      <c r="B874" s="1"/>
      <c r="C874" s="1"/>
      <c r="D874" s="1"/>
      <c r="E874" s="1"/>
      <c r="F874" s="1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ht="15.75" customHeight="1" x14ac:dyDescent="0.25">
      <c r="A875" s="1"/>
      <c r="B875" s="1"/>
      <c r="C875" s="1"/>
      <c r="D875" s="1"/>
      <c r="E875" s="1"/>
      <c r="F875" s="1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ht="15.75" customHeight="1" x14ac:dyDescent="0.25">
      <c r="A876" s="1"/>
      <c r="B876" s="1"/>
      <c r="C876" s="1"/>
      <c r="D876" s="1"/>
      <c r="E876" s="1"/>
      <c r="F876" s="1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ht="15.75" customHeight="1" x14ac:dyDescent="0.25">
      <c r="A877" s="1"/>
      <c r="B877" s="1"/>
      <c r="C877" s="1"/>
      <c r="D877" s="1"/>
      <c r="E877" s="1"/>
      <c r="F877" s="1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ht="15.75" customHeight="1" x14ac:dyDescent="0.25">
      <c r="A878" s="1"/>
      <c r="B878" s="1"/>
      <c r="C878" s="1"/>
      <c r="D878" s="1"/>
      <c r="E878" s="1"/>
      <c r="F878" s="1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ht="15.75" customHeight="1" x14ac:dyDescent="0.25">
      <c r="A879" s="1"/>
      <c r="B879" s="1"/>
      <c r="C879" s="1"/>
      <c r="D879" s="1"/>
      <c r="E879" s="1"/>
      <c r="F879" s="1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ht="15.75" customHeight="1" x14ac:dyDescent="0.25">
      <c r="A880" s="1"/>
      <c r="B880" s="1"/>
      <c r="C880" s="1"/>
      <c r="D880" s="1"/>
      <c r="E880" s="1"/>
      <c r="F880" s="1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ht="15.75" customHeight="1" x14ac:dyDescent="0.25">
      <c r="A881" s="1"/>
      <c r="B881" s="1"/>
      <c r="C881" s="1"/>
      <c r="D881" s="1"/>
      <c r="E881" s="1"/>
      <c r="F881" s="1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ht="15.75" customHeight="1" x14ac:dyDescent="0.25">
      <c r="A882" s="1"/>
      <c r="B882" s="1"/>
      <c r="C882" s="1"/>
      <c r="D882" s="1"/>
      <c r="E882" s="1"/>
      <c r="F882" s="1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ht="15.75" customHeight="1" x14ac:dyDescent="0.25">
      <c r="A883" s="1"/>
      <c r="B883" s="1"/>
      <c r="C883" s="1"/>
      <c r="D883" s="1"/>
      <c r="E883" s="1"/>
      <c r="F883" s="1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ht="15.75" customHeight="1" x14ac:dyDescent="0.25">
      <c r="A884" s="1"/>
      <c r="B884" s="1"/>
      <c r="C884" s="1"/>
      <c r="D884" s="1"/>
      <c r="E884" s="1"/>
      <c r="F884" s="1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ht="15.75" customHeight="1" x14ac:dyDescent="0.25">
      <c r="A885" s="1"/>
      <c r="B885" s="1"/>
      <c r="C885" s="1"/>
      <c r="D885" s="1"/>
      <c r="E885" s="1"/>
      <c r="F885" s="1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ht="15.75" customHeight="1" x14ac:dyDescent="0.25">
      <c r="A886" s="1"/>
      <c r="B886" s="1"/>
      <c r="C886" s="1"/>
      <c r="D886" s="1"/>
      <c r="E886" s="1"/>
      <c r="F886" s="1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ht="15.75" customHeight="1" x14ac:dyDescent="0.25">
      <c r="A887" s="1"/>
      <c r="B887" s="1"/>
      <c r="C887" s="1"/>
      <c r="D887" s="1"/>
      <c r="E887" s="1"/>
      <c r="F887" s="1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ht="15.75" customHeight="1" x14ac:dyDescent="0.25">
      <c r="A888" s="1"/>
      <c r="B888" s="1"/>
      <c r="C888" s="1"/>
      <c r="D888" s="1"/>
      <c r="E888" s="1"/>
      <c r="F888" s="1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ht="15.75" customHeight="1" x14ac:dyDescent="0.25">
      <c r="A889" s="1"/>
      <c r="B889" s="1"/>
      <c r="C889" s="1"/>
      <c r="D889" s="1"/>
      <c r="E889" s="1"/>
      <c r="F889" s="1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ht="15.75" customHeight="1" x14ac:dyDescent="0.25">
      <c r="A890" s="1"/>
      <c r="B890" s="1"/>
      <c r="C890" s="1"/>
      <c r="D890" s="1"/>
      <c r="E890" s="1"/>
      <c r="F890" s="1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ht="15.75" customHeight="1" x14ac:dyDescent="0.25">
      <c r="A891" s="1"/>
      <c r="B891" s="1"/>
      <c r="C891" s="1"/>
      <c r="D891" s="1"/>
      <c r="E891" s="1"/>
      <c r="F891" s="1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ht="15.75" customHeight="1" x14ac:dyDescent="0.25">
      <c r="A892" s="1"/>
      <c r="B892" s="1"/>
      <c r="C892" s="1"/>
      <c r="D892" s="1"/>
      <c r="E892" s="1"/>
      <c r="F892" s="1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ht="15.75" customHeight="1" x14ac:dyDescent="0.25">
      <c r="A893" s="1"/>
      <c r="B893" s="1"/>
      <c r="C893" s="1"/>
      <c r="D893" s="1"/>
      <c r="E893" s="1"/>
      <c r="F893" s="1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ht="15.75" customHeight="1" x14ac:dyDescent="0.25">
      <c r="A894" s="1"/>
      <c r="B894" s="1"/>
      <c r="C894" s="1"/>
      <c r="D894" s="1"/>
      <c r="E894" s="1"/>
      <c r="F894" s="1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ht="15.75" customHeight="1" x14ac:dyDescent="0.25">
      <c r="A895" s="1"/>
      <c r="B895" s="1"/>
      <c r="C895" s="1"/>
      <c r="D895" s="1"/>
      <c r="E895" s="1"/>
      <c r="F895" s="1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ht="15.75" customHeight="1" x14ac:dyDescent="0.25">
      <c r="A896" s="1"/>
      <c r="B896" s="1"/>
      <c r="C896" s="1"/>
      <c r="D896" s="1"/>
      <c r="E896" s="1"/>
      <c r="F896" s="1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ht="15.75" customHeight="1" x14ac:dyDescent="0.25">
      <c r="A897" s="1"/>
      <c r="B897" s="1"/>
      <c r="C897" s="1"/>
      <c r="D897" s="1"/>
      <c r="E897" s="1"/>
      <c r="F897" s="1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ht="15.75" customHeight="1" x14ac:dyDescent="0.25">
      <c r="A898" s="1"/>
      <c r="B898" s="1"/>
      <c r="C898" s="1"/>
      <c r="D898" s="1"/>
      <c r="E898" s="1"/>
      <c r="F898" s="1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ht="15.75" customHeight="1" x14ac:dyDescent="0.25">
      <c r="A899" s="1"/>
      <c r="B899" s="1"/>
      <c r="C899" s="1"/>
      <c r="D899" s="1"/>
      <c r="E899" s="1"/>
      <c r="F899" s="1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ht="15.75" customHeight="1" x14ac:dyDescent="0.25">
      <c r="A900" s="1"/>
      <c r="B900" s="1"/>
      <c r="C900" s="1"/>
      <c r="D900" s="1"/>
      <c r="E900" s="1"/>
      <c r="F900" s="1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ht="15.75" customHeight="1" x14ac:dyDescent="0.25">
      <c r="A901" s="1"/>
      <c r="B901" s="1"/>
      <c r="C901" s="1"/>
      <c r="D901" s="1"/>
      <c r="E901" s="1"/>
      <c r="F901" s="1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ht="15.75" customHeight="1" x14ac:dyDescent="0.25">
      <c r="A902" s="1"/>
      <c r="B902" s="1"/>
      <c r="C902" s="1"/>
      <c r="D902" s="1"/>
      <c r="E902" s="1"/>
      <c r="F902" s="1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ht="15.75" customHeight="1" x14ac:dyDescent="0.25">
      <c r="A903" s="1"/>
      <c r="B903" s="1"/>
      <c r="C903" s="1"/>
      <c r="D903" s="1"/>
      <c r="E903" s="1"/>
      <c r="F903" s="1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ht="15.75" customHeight="1" x14ac:dyDescent="0.25">
      <c r="A904" s="1"/>
      <c r="B904" s="1"/>
      <c r="C904" s="1"/>
      <c r="D904" s="1"/>
      <c r="E904" s="1"/>
      <c r="F904" s="1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ht="15.75" customHeight="1" x14ac:dyDescent="0.25">
      <c r="A905" s="1"/>
      <c r="B905" s="1"/>
      <c r="C905" s="1"/>
      <c r="D905" s="1"/>
      <c r="E905" s="1"/>
      <c r="F905" s="1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ht="15.75" customHeight="1" x14ac:dyDescent="0.25">
      <c r="A906" s="1"/>
      <c r="B906" s="1"/>
      <c r="C906" s="1"/>
      <c r="D906" s="1"/>
      <c r="E906" s="1"/>
      <c r="F906" s="1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ht="15.75" customHeight="1" x14ac:dyDescent="0.25">
      <c r="A907" s="1"/>
      <c r="B907" s="1"/>
      <c r="C907" s="1"/>
      <c r="D907" s="1"/>
      <c r="E907" s="1"/>
      <c r="F907" s="1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ht="15.75" customHeight="1" x14ac:dyDescent="0.25">
      <c r="A908" s="1"/>
      <c r="B908" s="1"/>
      <c r="C908" s="1"/>
      <c r="D908" s="1"/>
      <c r="E908" s="1"/>
      <c r="F908" s="1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ht="15.75" customHeight="1" x14ac:dyDescent="0.25">
      <c r="A909" s="1"/>
      <c r="B909" s="1"/>
      <c r="C909" s="1"/>
      <c r="D909" s="1"/>
      <c r="E909" s="1"/>
      <c r="F909" s="1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ht="15.75" customHeight="1" x14ac:dyDescent="0.25">
      <c r="A910" s="1"/>
      <c r="B910" s="1"/>
      <c r="C910" s="1"/>
      <c r="D910" s="1"/>
      <c r="E910" s="1"/>
      <c r="F910" s="1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ht="15.75" customHeight="1" x14ac:dyDescent="0.25">
      <c r="A911" s="1"/>
      <c r="B911" s="1"/>
      <c r="C911" s="1"/>
      <c r="D911" s="1"/>
      <c r="E911" s="1"/>
      <c r="F911" s="1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ht="15.75" customHeight="1" x14ac:dyDescent="0.25">
      <c r="A912" s="1"/>
      <c r="B912" s="1"/>
      <c r="C912" s="1"/>
      <c r="D912" s="1"/>
      <c r="E912" s="1"/>
      <c r="F912" s="1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ht="15.75" customHeight="1" x14ac:dyDescent="0.25">
      <c r="A913" s="1"/>
      <c r="B913" s="1"/>
      <c r="C913" s="1"/>
      <c r="D913" s="1"/>
      <c r="E913" s="1"/>
      <c r="F913" s="1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ht="15.75" customHeight="1" x14ac:dyDescent="0.25">
      <c r="A914" s="1"/>
      <c r="B914" s="1"/>
      <c r="C914" s="1"/>
      <c r="D914" s="1"/>
      <c r="E914" s="1"/>
      <c r="F914" s="1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ht="15.75" customHeight="1" x14ac:dyDescent="0.25">
      <c r="A915" s="1"/>
      <c r="B915" s="1"/>
      <c r="C915" s="1"/>
      <c r="D915" s="1"/>
      <c r="E915" s="1"/>
      <c r="F915" s="1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ht="15.75" customHeight="1" x14ac:dyDescent="0.25">
      <c r="A916" s="1"/>
      <c r="B916" s="1"/>
      <c r="C916" s="1"/>
      <c r="D916" s="1"/>
      <c r="E916" s="1"/>
      <c r="F916" s="1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ht="15.75" customHeight="1" x14ac:dyDescent="0.25">
      <c r="A917" s="1"/>
      <c r="B917" s="1"/>
      <c r="C917" s="1"/>
      <c r="D917" s="1"/>
      <c r="E917" s="1"/>
      <c r="F917" s="1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ht="15.75" customHeight="1" x14ac:dyDescent="0.25">
      <c r="A918" s="1"/>
      <c r="B918" s="1"/>
      <c r="C918" s="1"/>
      <c r="D918" s="1"/>
      <c r="E918" s="1"/>
      <c r="F918" s="1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ht="15.75" customHeight="1" x14ac:dyDescent="0.25">
      <c r="A919" s="1"/>
      <c r="B919" s="1"/>
      <c r="C919" s="1"/>
      <c r="D919" s="1"/>
      <c r="E919" s="1"/>
      <c r="F919" s="1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ht="15.75" customHeight="1" x14ac:dyDescent="0.25">
      <c r="A920" s="1"/>
      <c r="B920" s="1"/>
      <c r="C920" s="1"/>
      <c r="D920" s="1"/>
      <c r="E920" s="1"/>
      <c r="F920" s="1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ht="15.75" customHeight="1" x14ac:dyDescent="0.25">
      <c r="A921" s="1"/>
      <c r="B921" s="1"/>
      <c r="C921" s="1"/>
      <c r="D921" s="1"/>
      <c r="E921" s="1"/>
      <c r="F921" s="1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ht="15.75" customHeight="1" x14ac:dyDescent="0.25">
      <c r="A922" s="1"/>
      <c r="B922" s="1"/>
      <c r="C922" s="1"/>
      <c r="D922" s="1"/>
      <c r="E922" s="1"/>
      <c r="F922" s="1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ht="15.75" customHeight="1" x14ac:dyDescent="0.25">
      <c r="A923" s="1"/>
      <c r="B923" s="1"/>
      <c r="C923" s="1"/>
      <c r="D923" s="1"/>
      <c r="E923" s="1"/>
      <c r="F923" s="1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ht="15.75" customHeight="1" x14ac:dyDescent="0.25">
      <c r="A924" s="1"/>
      <c r="B924" s="1"/>
      <c r="C924" s="1"/>
      <c r="D924" s="1"/>
      <c r="E924" s="1"/>
      <c r="F924" s="1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ht="15.75" customHeight="1" x14ac:dyDescent="0.25">
      <c r="A925" s="1"/>
      <c r="B925" s="1"/>
      <c r="C925" s="1"/>
      <c r="D925" s="1"/>
      <c r="E925" s="1"/>
      <c r="F925" s="1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ht="15.75" customHeight="1" x14ac:dyDescent="0.25">
      <c r="A926" s="1"/>
      <c r="B926" s="1"/>
      <c r="C926" s="1"/>
      <c r="D926" s="1"/>
      <c r="E926" s="1"/>
      <c r="F926" s="1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ht="15.75" customHeight="1" x14ac:dyDescent="0.25">
      <c r="A927" s="1"/>
      <c r="B927" s="1"/>
      <c r="C927" s="1"/>
      <c r="D927" s="1"/>
      <c r="E927" s="1"/>
      <c r="F927" s="1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ht="15.75" customHeight="1" x14ac:dyDescent="0.25">
      <c r="A928" s="1"/>
      <c r="B928" s="1"/>
      <c r="C928" s="1"/>
      <c r="D928" s="1"/>
      <c r="E928" s="1"/>
      <c r="F928" s="1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ht="15.75" customHeight="1" x14ac:dyDescent="0.25">
      <c r="A929" s="1"/>
      <c r="B929" s="1"/>
      <c r="C929" s="1"/>
      <c r="D929" s="1"/>
      <c r="E929" s="1"/>
      <c r="F929" s="1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ht="15.75" customHeight="1" x14ac:dyDescent="0.25">
      <c r="A930" s="1"/>
      <c r="B930" s="1"/>
      <c r="C930" s="1"/>
      <c r="D930" s="1"/>
      <c r="E930" s="1"/>
      <c r="F930" s="1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ht="15.75" customHeight="1" x14ac:dyDescent="0.25">
      <c r="A931" s="1"/>
      <c r="B931" s="1"/>
      <c r="C931" s="1"/>
      <c r="D931" s="1"/>
      <c r="E931" s="1"/>
      <c r="F931" s="1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ht="15.75" customHeight="1" x14ac:dyDescent="0.25">
      <c r="A932" s="1"/>
      <c r="B932" s="1"/>
      <c r="C932" s="1"/>
      <c r="D932" s="1"/>
      <c r="E932" s="1"/>
      <c r="F932" s="1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ht="15.75" customHeight="1" x14ac:dyDescent="0.25">
      <c r="A933" s="1"/>
      <c r="B933" s="1"/>
      <c r="C933" s="1"/>
      <c r="D933" s="1"/>
      <c r="E933" s="1"/>
      <c r="F933" s="1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ht="15.75" customHeight="1" x14ac:dyDescent="0.25">
      <c r="A934" s="1"/>
      <c r="B934" s="1"/>
      <c r="C934" s="1"/>
      <c r="D934" s="1"/>
      <c r="E934" s="1"/>
      <c r="F934" s="1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ht="15.75" customHeight="1" x14ac:dyDescent="0.25">
      <c r="A935" s="1"/>
      <c r="B935" s="1"/>
      <c r="C935" s="1"/>
      <c r="D935" s="1"/>
      <c r="E935" s="1"/>
      <c r="F935" s="1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ht="15.75" customHeight="1" x14ac:dyDescent="0.25">
      <c r="A936" s="1"/>
      <c r="B936" s="1"/>
      <c r="C936" s="1"/>
      <c r="D936" s="1"/>
      <c r="E936" s="1"/>
      <c r="F936" s="1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ht="15.75" customHeight="1" x14ac:dyDescent="0.25">
      <c r="A937" s="1"/>
      <c r="B937" s="1"/>
      <c r="C937" s="1"/>
      <c r="D937" s="1"/>
      <c r="E937" s="1"/>
      <c r="F937" s="1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ht="15.75" customHeight="1" x14ac:dyDescent="0.25">
      <c r="A938" s="1"/>
      <c r="B938" s="1"/>
      <c r="C938" s="1"/>
      <c r="D938" s="1"/>
      <c r="E938" s="1"/>
      <c r="F938" s="1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ht="15.75" customHeight="1" x14ac:dyDescent="0.25">
      <c r="A939" s="1"/>
      <c r="B939" s="1"/>
      <c r="C939" s="1"/>
      <c r="D939" s="1"/>
      <c r="E939" s="1"/>
      <c r="F939" s="1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ht="15.75" customHeight="1" x14ac:dyDescent="0.25">
      <c r="A940" s="1"/>
      <c r="B940" s="1"/>
      <c r="C940" s="1"/>
      <c r="D940" s="1"/>
      <c r="E940" s="1"/>
      <c r="F940" s="1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ht="15.75" customHeight="1" x14ac:dyDescent="0.25">
      <c r="A941" s="1"/>
      <c r="B941" s="1"/>
      <c r="C941" s="1"/>
      <c r="D941" s="1"/>
      <c r="E941" s="1"/>
      <c r="F941" s="1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ht="15.75" customHeight="1" x14ac:dyDescent="0.25">
      <c r="A942" s="1"/>
      <c r="B942" s="1"/>
      <c r="C942" s="1"/>
      <c r="D942" s="1"/>
      <c r="E942" s="1"/>
      <c r="F942" s="1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ht="15.75" customHeight="1" x14ac:dyDescent="0.25">
      <c r="A943" s="1"/>
      <c r="B943" s="1"/>
      <c r="C943" s="1"/>
      <c r="D943" s="1"/>
      <c r="E943" s="1"/>
      <c r="F943" s="1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ht="15.75" customHeight="1" x14ac:dyDescent="0.25">
      <c r="A944" s="1"/>
      <c r="B944" s="1"/>
      <c r="C944" s="1"/>
      <c r="D944" s="1"/>
      <c r="E944" s="1"/>
      <c r="F944" s="1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ht="15.75" customHeight="1" x14ac:dyDescent="0.25">
      <c r="A945" s="1"/>
      <c r="B945" s="1"/>
      <c r="C945" s="1"/>
      <c r="D945" s="1"/>
      <c r="E945" s="1"/>
      <c r="F945" s="1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ht="15.75" customHeight="1" x14ac:dyDescent="0.25">
      <c r="A946" s="1"/>
      <c r="B946" s="1"/>
      <c r="C946" s="1"/>
      <c r="D946" s="1"/>
      <c r="E946" s="1"/>
      <c r="F946" s="1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ht="15.75" customHeight="1" x14ac:dyDescent="0.25">
      <c r="A947" s="1"/>
      <c r="B947" s="1"/>
      <c r="C947" s="1"/>
      <c r="D947" s="1"/>
      <c r="E947" s="1"/>
      <c r="F947" s="1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ht="15.75" customHeight="1" x14ac:dyDescent="0.25">
      <c r="A948" s="1"/>
      <c r="B948" s="1"/>
      <c r="C948" s="1"/>
      <c r="D948" s="1"/>
      <c r="E948" s="1"/>
      <c r="F948" s="1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ht="15.75" customHeight="1" x14ac:dyDescent="0.25">
      <c r="A949" s="1"/>
      <c r="B949" s="1"/>
      <c r="C949" s="1"/>
      <c r="D949" s="1"/>
      <c r="E949" s="1"/>
      <c r="F949" s="1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ht="15.75" customHeight="1" x14ac:dyDescent="0.25">
      <c r="A950" s="1"/>
      <c r="B950" s="1"/>
      <c r="C950" s="1"/>
      <c r="D950" s="1"/>
      <c r="E950" s="1"/>
      <c r="F950" s="1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ht="15.75" customHeight="1" x14ac:dyDescent="0.25">
      <c r="A951" s="1"/>
      <c r="B951" s="1"/>
      <c r="C951" s="1"/>
      <c r="D951" s="1"/>
      <c r="E951" s="1"/>
      <c r="F951" s="1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ht="15.75" customHeight="1" x14ac:dyDescent="0.25">
      <c r="A952" s="1"/>
      <c r="B952" s="1"/>
      <c r="C952" s="1"/>
      <c r="D952" s="1"/>
      <c r="E952" s="1"/>
      <c r="F952" s="1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ht="15.75" customHeight="1" x14ac:dyDescent="0.25">
      <c r="A953" s="1"/>
      <c r="B953" s="1"/>
      <c r="C953" s="1"/>
      <c r="D953" s="1"/>
      <c r="E953" s="1"/>
      <c r="F953" s="1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ht="15.75" customHeight="1" x14ac:dyDescent="0.25">
      <c r="A954" s="1"/>
      <c r="B954" s="1"/>
      <c r="C954" s="1"/>
      <c r="D954" s="1"/>
      <c r="E954" s="1"/>
      <c r="F954" s="1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ht="15.75" customHeight="1" x14ac:dyDescent="0.25">
      <c r="A955" s="1"/>
      <c r="B955" s="1"/>
      <c r="C955" s="1"/>
      <c r="D955" s="1"/>
      <c r="E955" s="1"/>
      <c r="F955" s="1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ht="15.75" customHeight="1" x14ac:dyDescent="0.25">
      <c r="A956" s="1"/>
      <c r="B956" s="1"/>
      <c r="C956" s="1"/>
      <c r="D956" s="1"/>
      <c r="E956" s="1"/>
      <c r="F956" s="1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ht="15.75" customHeight="1" x14ac:dyDescent="0.25">
      <c r="A957" s="1"/>
      <c r="B957" s="1"/>
      <c r="C957" s="1"/>
      <c r="D957" s="1"/>
      <c r="E957" s="1"/>
      <c r="F957" s="1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ht="15.75" customHeight="1" x14ac:dyDescent="0.25">
      <c r="A958" s="1"/>
      <c r="B958" s="1"/>
      <c r="C958" s="1"/>
      <c r="D958" s="1"/>
      <c r="E958" s="1"/>
      <c r="F958" s="1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ht="15.75" customHeight="1" x14ac:dyDescent="0.25">
      <c r="A959" s="1"/>
      <c r="B959" s="1"/>
      <c r="C959" s="1"/>
      <c r="D959" s="1"/>
      <c r="E959" s="1"/>
      <c r="F959" s="1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ht="15.75" customHeight="1" x14ac:dyDescent="0.25">
      <c r="A960" s="1"/>
      <c r="B960" s="1"/>
      <c r="C960" s="1"/>
      <c r="D960" s="1"/>
      <c r="E960" s="1"/>
      <c r="F960" s="1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ht="15.75" customHeight="1" x14ac:dyDescent="0.25">
      <c r="A961" s="1"/>
      <c r="B961" s="1"/>
      <c r="C961" s="1"/>
      <c r="D961" s="1"/>
      <c r="E961" s="1"/>
      <c r="F961" s="1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ht="15.75" customHeight="1" x14ac:dyDescent="0.25">
      <c r="A962" s="1"/>
      <c r="B962" s="1"/>
      <c r="C962" s="1"/>
      <c r="D962" s="1"/>
      <c r="E962" s="1"/>
      <c r="F962" s="1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ht="15.75" customHeight="1" x14ac:dyDescent="0.25">
      <c r="A963" s="1"/>
      <c r="B963" s="1"/>
      <c r="C963" s="1"/>
      <c r="D963" s="1"/>
      <c r="E963" s="1"/>
      <c r="F963" s="1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ht="15.75" customHeight="1" x14ac:dyDescent="0.25">
      <c r="A964" s="1"/>
      <c r="B964" s="1"/>
      <c r="C964" s="1"/>
      <c r="D964" s="1"/>
      <c r="E964" s="1"/>
      <c r="F964" s="1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ht="15.75" customHeight="1" x14ac:dyDescent="0.25">
      <c r="A965" s="1"/>
      <c r="B965" s="1"/>
      <c r="C965" s="1"/>
      <c r="D965" s="1"/>
      <c r="E965" s="1"/>
      <c r="F965" s="1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ht="15.75" customHeight="1" x14ac:dyDescent="0.25">
      <c r="A966" s="1"/>
      <c r="B966" s="1"/>
      <c r="C966" s="1"/>
      <c r="D966" s="1"/>
      <c r="E966" s="1"/>
      <c r="F966" s="1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ht="15.75" customHeight="1" x14ac:dyDescent="0.25">
      <c r="A967" s="1"/>
      <c r="B967" s="1"/>
      <c r="C967" s="1"/>
      <c r="D967" s="1"/>
      <c r="E967" s="1"/>
      <c r="F967" s="1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ht="15.75" customHeight="1" x14ac:dyDescent="0.25">
      <c r="A968" s="1"/>
      <c r="B968" s="1"/>
      <c r="C968" s="1"/>
      <c r="D968" s="1"/>
      <c r="E968" s="1"/>
      <c r="F968" s="1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ht="15.75" customHeight="1" x14ac:dyDescent="0.25">
      <c r="A969" s="1"/>
      <c r="B969" s="1"/>
      <c r="C969" s="1"/>
      <c r="D969" s="1"/>
      <c r="E969" s="1"/>
      <c r="F969" s="1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ht="15.75" customHeight="1" x14ac:dyDescent="0.25">
      <c r="A970" s="1"/>
      <c r="B970" s="1"/>
      <c r="C970" s="1"/>
      <c r="D970" s="1"/>
      <c r="E970" s="1"/>
      <c r="F970" s="1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ht="15.75" customHeight="1" x14ac:dyDescent="0.25">
      <c r="A971" s="1"/>
      <c r="B971" s="1"/>
      <c r="C971" s="1"/>
      <c r="D971" s="1"/>
      <c r="E971" s="1"/>
      <c r="F971" s="1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ht="15.75" customHeight="1" x14ac:dyDescent="0.25">
      <c r="A972" s="1"/>
      <c r="B972" s="1"/>
      <c r="C972" s="1"/>
      <c r="D972" s="1"/>
      <c r="E972" s="1"/>
      <c r="F972" s="1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ht="15.75" customHeight="1" x14ac:dyDescent="0.25">
      <c r="A973" s="1"/>
      <c r="B973" s="1"/>
      <c r="C973" s="1"/>
      <c r="D973" s="1"/>
      <c r="E973" s="1"/>
      <c r="F973" s="1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ht="15.75" customHeight="1" x14ac:dyDescent="0.25">
      <c r="A974" s="1"/>
      <c r="B974" s="1"/>
      <c r="C974" s="1"/>
      <c r="D974" s="1"/>
      <c r="E974" s="1"/>
      <c r="F974" s="1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ht="15.75" customHeight="1" x14ac:dyDescent="0.25">
      <c r="A975" s="1"/>
      <c r="B975" s="1"/>
      <c r="C975" s="1"/>
      <c r="D975" s="1"/>
      <c r="E975" s="1"/>
      <c r="F975" s="1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ht="15.75" customHeight="1" x14ac:dyDescent="0.25">
      <c r="A976" s="1"/>
      <c r="B976" s="1"/>
      <c r="C976" s="1"/>
      <c r="D976" s="1"/>
      <c r="E976" s="1"/>
      <c r="F976" s="1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ht="15.75" customHeight="1" x14ac:dyDescent="0.25">
      <c r="A977" s="1"/>
      <c r="B977" s="1"/>
      <c r="C977" s="1"/>
      <c r="D977" s="1"/>
      <c r="E977" s="1"/>
      <c r="F977" s="1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ht="15.75" customHeight="1" x14ac:dyDescent="0.25">
      <c r="A978" s="1"/>
      <c r="B978" s="1"/>
      <c r="C978" s="1"/>
      <c r="D978" s="1"/>
      <c r="E978" s="1"/>
      <c r="F978" s="1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ht="15.75" customHeight="1" x14ac:dyDescent="0.25">
      <c r="A979" s="1"/>
      <c r="B979" s="1"/>
      <c r="C979" s="1"/>
      <c r="D979" s="1"/>
      <c r="E979" s="1"/>
      <c r="F979" s="1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ht="15.75" customHeight="1" x14ac:dyDescent="0.25">
      <c r="A980" s="1"/>
      <c r="B980" s="1"/>
      <c r="C980" s="1"/>
      <c r="D980" s="1"/>
      <c r="E980" s="1"/>
      <c r="F980" s="1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ht="15.75" customHeight="1" x14ac:dyDescent="0.25">
      <c r="A981" s="1"/>
      <c r="B981" s="1"/>
      <c r="C981" s="1"/>
      <c r="D981" s="1"/>
      <c r="E981" s="1"/>
      <c r="F981" s="1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ht="15.75" customHeight="1" x14ac:dyDescent="0.25">
      <c r="A982" s="1"/>
      <c r="B982" s="1"/>
      <c r="C982" s="1"/>
      <c r="D982" s="1"/>
      <c r="E982" s="1"/>
      <c r="F982" s="1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ht="15.75" customHeight="1" x14ac:dyDescent="0.25">
      <c r="A983" s="1"/>
      <c r="B983" s="1"/>
      <c r="C983" s="1"/>
      <c r="D983" s="1"/>
      <c r="E983" s="1"/>
      <c r="F983" s="1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ht="15.75" customHeight="1" x14ac:dyDescent="0.25">
      <c r="A984" s="1"/>
      <c r="B984" s="1"/>
      <c r="C984" s="1"/>
      <c r="D984" s="1"/>
      <c r="E984" s="1"/>
      <c r="F984" s="1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ht="15.75" customHeight="1" x14ac:dyDescent="0.25">
      <c r="A985" s="1"/>
      <c r="B985" s="1"/>
      <c r="C985" s="1"/>
      <c r="D985" s="1"/>
      <c r="E985" s="1"/>
      <c r="F985" s="1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ht="15.75" customHeight="1" x14ac:dyDescent="0.25">
      <c r="A986" s="1"/>
      <c r="B986" s="1"/>
      <c r="C986" s="1"/>
      <c r="D986" s="1"/>
      <c r="E986" s="1"/>
      <c r="F986" s="1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ht="15.75" customHeight="1" x14ac:dyDescent="0.25">
      <c r="A987" s="1"/>
      <c r="B987" s="1"/>
      <c r="C987" s="1"/>
      <c r="D987" s="1"/>
      <c r="E987" s="1"/>
      <c r="F987" s="1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ht="15.75" customHeight="1" x14ac:dyDescent="0.25">
      <c r="A988" s="1"/>
      <c r="B988" s="1"/>
      <c r="C988" s="1"/>
      <c r="D988" s="1"/>
      <c r="E988" s="1"/>
      <c r="F988" s="1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ht="15.75" customHeight="1" x14ac:dyDescent="0.25">
      <c r="A989" s="1"/>
      <c r="B989" s="1"/>
      <c r="C989" s="1"/>
      <c r="D989" s="1"/>
      <c r="E989" s="1"/>
      <c r="F989" s="1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ht="15.75" customHeight="1" x14ac:dyDescent="0.25">
      <c r="A990" s="1"/>
      <c r="B990" s="1"/>
      <c r="C990" s="1"/>
      <c r="D990" s="1"/>
      <c r="E990" s="1"/>
      <c r="F990" s="1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ht="15.75" customHeight="1" x14ac:dyDescent="0.25">
      <c r="A991" s="1"/>
      <c r="B991" s="1"/>
      <c r="C991" s="1"/>
      <c r="D991" s="1"/>
      <c r="E991" s="1"/>
      <c r="F991" s="1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ht="15.75" customHeight="1" x14ac:dyDescent="0.25">
      <c r="A992" s="1"/>
      <c r="B992" s="1"/>
      <c r="C992" s="1"/>
      <c r="D992" s="1"/>
      <c r="E992" s="1"/>
      <c r="F992" s="1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ht="15.75" customHeight="1" x14ac:dyDescent="0.25">
      <c r="A993" s="1"/>
      <c r="B993" s="1"/>
      <c r="C993" s="1"/>
      <c r="D993" s="1"/>
      <c r="E993" s="1"/>
      <c r="F993" s="1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ht="15.75" customHeight="1" x14ac:dyDescent="0.25">
      <c r="A994" s="1"/>
      <c r="B994" s="1"/>
      <c r="C994" s="1"/>
      <c r="D994" s="1"/>
      <c r="E994" s="1"/>
      <c r="F994" s="1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ht="15.75" customHeight="1" x14ac:dyDescent="0.25">
      <c r="A995" s="1"/>
      <c r="B995" s="1"/>
      <c r="C995" s="1"/>
      <c r="D995" s="1"/>
      <c r="E995" s="1"/>
      <c r="F995" s="1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ht="15.75" customHeight="1" x14ac:dyDescent="0.25">
      <c r="A996" s="1"/>
      <c r="B996" s="1"/>
      <c r="C996" s="1"/>
      <c r="D996" s="1"/>
      <c r="E996" s="1"/>
      <c r="F996" s="1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ht="15.75" customHeight="1" x14ac:dyDescent="0.25">
      <c r="A997" s="1"/>
      <c r="B997" s="1"/>
      <c r="C997" s="1"/>
      <c r="D997" s="1"/>
      <c r="E997" s="1"/>
      <c r="F997" s="1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ht="15.75" customHeight="1" x14ac:dyDescent="0.25">
      <c r="A998" s="1"/>
      <c r="B998" s="1"/>
      <c r="C998" s="1"/>
      <c r="D998" s="1"/>
      <c r="E998" s="1"/>
      <c r="F998" s="1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ht="15.75" customHeight="1" x14ac:dyDescent="0.25">
      <c r="A999" s="1"/>
      <c r="B999" s="1"/>
      <c r="C999" s="1"/>
      <c r="D999" s="1"/>
      <c r="E999" s="1"/>
      <c r="F999" s="1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ht="15.75" customHeight="1" x14ac:dyDescent="0.25">
      <c r="A1000" s="1"/>
      <c r="B1000" s="1"/>
      <c r="C1000" s="1"/>
      <c r="D1000" s="1"/>
      <c r="E1000" s="1"/>
      <c r="F1000" s="1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8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82" t="s">
        <v>107</v>
      </c>
    </row>
    <row r="2" spans="1:1" x14ac:dyDescent="0.25">
      <c r="A2" s="88" t="s">
        <v>111</v>
      </c>
    </row>
    <row r="3" spans="1:1" x14ac:dyDescent="0.25">
      <c r="A3" s="88" t="s">
        <v>109</v>
      </c>
    </row>
    <row r="4" spans="1:1" x14ac:dyDescent="0.25">
      <c r="A4" s="88" t="s">
        <v>110</v>
      </c>
    </row>
    <row r="6" spans="1:1" x14ac:dyDescent="0.25">
      <c r="A6" s="88" t="s">
        <v>112</v>
      </c>
    </row>
    <row r="7" spans="1:1" x14ac:dyDescent="0.25">
      <c r="A7" s="88" t="s">
        <v>113</v>
      </c>
    </row>
    <row r="8" spans="1:1" x14ac:dyDescent="0.25">
      <c r="A8" s="88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обработка</vt:lpstr>
      <vt:lpstr>сводка</vt:lpstr>
      <vt:lpstr>расчет</vt:lpstr>
      <vt:lpstr>Технология</vt:lpstr>
      <vt:lpstr>Инструкция</vt:lpstr>
      <vt:lpstr>Списки</vt:lpstr>
      <vt:lpstr>Redme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Лидия Гинтер</dc:creator>
  <cp:lastModifiedBy>I_Adilzade</cp:lastModifiedBy>
  <dcterms:created xsi:type="dcterms:W3CDTF">2006-09-16T00:00:00Z</dcterms:created>
  <dcterms:modified xsi:type="dcterms:W3CDTF">2022-12-22T13:08:58Z</dcterms:modified>
</cp:coreProperties>
</file>